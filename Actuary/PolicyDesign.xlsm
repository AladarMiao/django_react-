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Sample\"/>
    </mc:Choice>
  </mc:AlternateContent>
  <xr:revisionPtr revIDLastSave="0" documentId="13_ncr:1_{8CB86B4F-914C-492E-A3C8-FD55FEDC1030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Code" sheetId="2" r:id="rId1"/>
    <sheet name="LifeTable" sheetId="4" r:id="rId2"/>
    <sheet name="Policy" sheetId="1" r:id="rId3"/>
    <sheet name="Suggestion" sheetId="3" state="hidden" r:id="rId4"/>
    <sheet name="FT" sheetId="5" state="hidden" r:id="rId5"/>
    <sheet name="HT" sheetId="6" r:id="rId6"/>
    <sheet name="JT" sheetId="7" state="hidden" r:id="rId7"/>
    <sheet name="EL" sheetId="8" state="hidden" r:id="rId8"/>
    <sheet name="GP" sheetId="9" r:id="rId9"/>
  </sheets>
  <functionGroups builtInGroupCount="19"/>
  <calcPr calcId="191029" iterate="1" iterateCount="2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8" i="1" l="1"/>
  <c r="B60" i="1" s="1"/>
  <c r="H86" i="1"/>
  <c r="H87" i="1"/>
  <c r="C111" i="1"/>
  <c r="C112" i="1"/>
  <c r="C113" i="1"/>
  <c r="C122" i="1"/>
  <c r="C123" i="1"/>
  <c r="C124" i="1"/>
  <c r="F156" i="1"/>
  <c r="F157" i="1"/>
  <c r="F158" i="1"/>
  <c r="F159" i="1"/>
  <c r="F160" i="1"/>
  <c r="F161" i="1"/>
  <c r="F162" i="1"/>
  <c r="F163" i="1"/>
  <c r="B164" i="1"/>
  <c r="C164" i="1"/>
  <c r="F164" i="1" s="1"/>
  <c r="D164" i="1"/>
  <c r="E164" i="1"/>
</calcChain>
</file>

<file path=xl/sharedStrings.xml><?xml version="1.0" encoding="utf-8"?>
<sst xmlns="http://schemas.openxmlformats.org/spreadsheetml/2006/main" count="475" uniqueCount="363">
  <si>
    <t>1974 T.S.O.</t>
    <phoneticPr fontId="3" type="noConversion"/>
  </si>
  <si>
    <t>1984 T.S.O.</t>
    <phoneticPr fontId="3" type="noConversion"/>
  </si>
  <si>
    <t>1989 T.S.O.</t>
    <phoneticPr fontId="3" type="noConversion"/>
  </si>
  <si>
    <t>2002 T.S.O.</t>
    <phoneticPr fontId="3" type="noConversion"/>
  </si>
  <si>
    <t>x</t>
  </si>
  <si>
    <r>
      <t>q</t>
    </r>
    <r>
      <rPr>
        <vertAlign val="subscript"/>
        <sz val="10"/>
        <rFont val="Trebuchet MS"/>
        <family val="2"/>
      </rPr>
      <t>x</t>
    </r>
    <r>
      <rPr>
        <sz val="10"/>
        <rFont val="Trebuchet MS"/>
        <family val="2"/>
      </rPr>
      <t xml:space="preserve">  (man)</t>
    </r>
    <phoneticPr fontId="3" type="noConversion"/>
  </si>
  <si>
    <r>
      <t xml:space="preserve"> q</t>
    </r>
    <r>
      <rPr>
        <vertAlign val="subscript"/>
        <sz val="10"/>
        <rFont val="Trebuchet MS"/>
        <family val="2"/>
      </rPr>
      <t>x</t>
    </r>
    <r>
      <rPr>
        <sz val="10"/>
        <rFont val="Trebuchet MS"/>
        <family val="2"/>
      </rPr>
      <t xml:space="preserve"> (female)</t>
    </r>
    <phoneticPr fontId="3" type="noConversion"/>
  </si>
  <si>
    <r>
      <rPr>
        <sz val="10"/>
        <color theme="1"/>
        <rFont val="標楷體"/>
        <family val="4"/>
        <charset val="136"/>
      </rPr>
      <t>險種</t>
    </r>
    <phoneticPr fontId="1" type="noConversion"/>
  </si>
  <si>
    <r>
      <rPr>
        <sz val="10"/>
        <color theme="1"/>
        <rFont val="標楷體"/>
        <family val="4"/>
        <charset val="136"/>
      </rPr>
      <t>幣別</t>
    </r>
    <phoneticPr fontId="1" type="noConversion"/>
  </si>
  <si>
    <r>
      <rPr>
        <sz val="10"/>
        <color theme="1"/>
        <rFont val="標楷體"/>
        <family val="4"/>
        <charset val="136"/>
      </rPr>
      <t>輸入方式</t>
    </r>
    <phoneticPr fontId="1" type="noConversion"/>
  </si>
  <si>
    <r>
      <rPr>
        <sz val="10"/>
        <color theme="1"/>
        <rFont val="標楷體"/>
        <family val="4"/>
        <charset val="136"/>
      </rPr>
      <t>給付類型</t>
    </r>
    <phoneticPr fontId="1" type="noConversion"/>
  </si>
  <si>
    <r>
      <rPr>
        <sz val="10"/>
        <color theme="1"/>
        <rFont val="標楷體"/>
        <family val="4"/>
        <charset val="136"/>
      </rPr>
      <t>傳統型人壽保險</t>
    </r>
    <phoneticPr fontId="1" type="noConversion"/>
  </si>
  <si>
    <r>
      <rPr>
        <sz val="10"/>
        <color theme="1"/>
        <rFont val="標楷體"/>
        <family val="4"/>
        <charset val="136"/>
      </rPr>
      <t>台幣</t>
    </r>
    <phoneticPr fontId="1" type="noConversion"/>
  </si>
  <si>
    <r>
      <rPr>
        <sz val="10"/>
        <color theme="1"/>
        <rFont val="標楷體"/>
        <family val="4"/>
        <charset val="136"/>
      </rPr>
      <t>平準</t>
    </r>
    <phoneticPr fontId="1" type="noConversion"/>
  </si>
  <si>
    <r>
      <rPr>
        <sz val="10"/>
        <color theme="1"/>
        <rFont val="標楷體"/>
        <family val="4"/>
        <charset val="136"/>
      </rPr>
      <t>格式輸入</t>
    </r>
  </si>
  <si>
    <r>
      <rPr>
        <sz val="10"/>
        <color theme="1"/>
        <rFont val="標楷體"/>
        <family val="4"/>
        <charset val="136"/>
      </rPr>
      <t>保障期間</t>
    </r>
  </si>
  <si>
    <r>
      <rPr>
        <sz val="10"/>
        <color theme="1"/>
        <rFont val="標楷體"/>
        <family val="4"/>
        <charset val="136"/>
      </rPr>
      <t>利率變動型人壽保險</t>
    </r>
    <phoneticPr fontId="1" type="noConversion"/>
  </si>
  <si>
    <r>
      <rPr>
        <sz val="10"/>
        <color theme="1"/>
        <rFont val="標楷體"/>
        <family val="4"/>
        <charset val="136"/>
      </rPr>
      <t>美元</t>
    </r>
    <phoneticPr fontId="1" type="noConversion"/>
  </si>
  <si>
    <r>
      <rPr>
        <sz val="10"/>
        <color theme="1"/>
        <rFont val="標楷體"/>
        <family val="4"/>
        <charset val="136"/>
      </rPr>
      <t>變動</t>
    </r>
    <phoneticPr fontId="1" type="noConversion"/>
  </si>
  <si>
    <r>
      <rPr>
        <sz val="10"/>
        <color theme="1"/>
        <rFont val="標楷體"/>
        <family val="4"/>
        <charset val="136"/>
      </rPr>
      <t>數值輸入</t>
    </r>
    <r>
      <rPr>
        <sz val="10"/>
        <color theme="1"/>
        <rFont val="Trebuchet MS"/>
        <family val="2"/>
      </rPr>
      <t>-</t>
    </r>
    <r>
      <rPr>
        <sz val="10"/>
        <color theme="1"/>
        <rFont val="標楷體"/>
        <family val="4"/>
        <charset val="136"/>
      </rPr>
      <t>年度</t>
    </r>
  </si>
  <si>
    <r>
      <rPr>
        <sz val="10"/>
        <color theme="1"/>
        <rFont val="標楷體"/>
        <family val="4"/>
        <charset val="136"/>
      </rPr>
      <t>繳費期間</t>
    </r>
  </si>
  <si>
    <r>
      <rPr>
        <sz val="10"/>
        <color theme="1"/>
        <rFont val="標楷體"/>
        <family val="4"/>
        <charset val="136"/>
      </rPr>
      <t>基本保額</t>
    </r>
    <phoneticPr fontId="1" type="noConversion"/>
  </si>
  <si>
    <r>
      <rPr>
        <sz val="10"/>
        <color theme="1"/>
        <rFont val="標楷體"/>
        <family val="4"/>
        <charset val="136"/>
      </rPr>
      <t>萬能人壽保險</t>
    </r>
    <phoneticPr fontId="1" type="noConversion"/>
  </si>
  <si>
    <r>
      <rPr>
        <sz val="10"/>
        <color theme="1"/>
        <rFont val="標楷體"/>
        <family val="4"/>
        <charset val="136"/>
      </rPr>
      <t>澳幣</t>
    </r>
    <phoneticPr fontId="1" type="noConversion"/>
  </si>
  <si>
    <r>
      <rPr>
        <sz val="10"/>
        <color theme="1"/>
        <rFont val="標楷體"/>
        <family val="4"/>
        <charset val="136"/>
      </rPr>
      <t>數值輸入</t>
    </r>
    <r>
      <rPr>
        <sz val="10"/>
        <color theme="1"/>
        <rFont val="Trebuchet MS"/>
        <family val="2"/>
      </rPr>
      <t>-</t>
    </r>
    <r>
      <rPr>
        <sz val="10"/>
        <color theme="1"/>
        <rFont val="標楷體"/>
        <family val="4"/>
        <charset val="136"/>
      </rPr>
      <t>年齡</t>
    </r>
  </si>
  <si>
    <r>
      <rPr>
        <sz val="10"/>
        <color theme="1"/>
        <rFont val="標楷體"/>
        <family val="4"/>
        <charset val="136"/>
      </rPr>
      <t>特別期間</t>
    </r>
  </si>
  <si>
    <r>
      <rPr>
        <sz val="10"/>
        <color theme="1"/>
        <rFont val="標楷體"/>
        <family val="4"/>
        <charset val="136"/>
      </rPr>
      <t>所繳保費</t>
    </r>
    <phoneticPr fontId="1" type="noConversion"/>
  </si>
  <si>
    <r>
      <rPr>
        <sz val="10"/>
        <color theme="1"/>
        <rFont val="標楷體"/>
        <family val="4"/>
        <charset val="136"/>
      </rPr>
      <t>投資型人壽保險</t>
    </r>
    <phoneticPr fontId="1" type="noConversion"/>
  </si>
  <si>
    <r>
      <rPr>
        <sz val="10"/>
        <color theme="1"/>
        <rFont val="標楷體"/>
        <family val="4"/>
        <charset val="136"/>
      </rPr>
      <t>增值保額</t>
    </r>
    <phoneticPr fontId="1" type="noConversion"/>
  </si>
  <si>
    <r>
      <rPr>
        <sz val="10"/>
        <color theme="1"/>
        <rFont val="標楷體"/>
        <family val="4"/>
        <charset val="136"/>
      </rPr>
      <t>傷害保險</t>
    </r>
    <phoneticPr fontId="1" type="noConversion"/>
  </si>
  <si>
    <r>
      <rPr>
        <sz val="10"/>
        <color theme="1"/>
        <rFont val="標楷體"/>
        <family val="4"/>
        <charset val="136"/>
      </rPr>
      <t>增值保費</t>
    </r>
    <phoneticPr fontId="1" type="noConversion"/>
  </si>
  <si>
    <r>
      <rPr>
        <sz val="10"/>
        <color theme="1"/>
        <rFont val="標楷體"/>
        <family val="4"/>
        <charset val="136"/>
      </rPr>
      <t>健康保險</t>
    </r>
    <phoneticPr fontId="1" type="noConversion"/>
  </si>
  <si>
    <r>
      <rPr>
        <sz val="10"/>
        <color theme="1"/>
        <rFont val="標楷體"/>
        <family val="4"/>
        <charset val="136"/>
      </rPr>
      <t>傳統型年金保險</t>
    </r>
    <phoneticPr fontId="1" type="noConversion"/>
  </si>
  <si>
    <r>
      <rPr>
        <sz val="10"/>
        <color theme="1"/>
        <rFont val="標楷體"/>
        <family val="4"/>
        <charset val="136"/>
      </rPr>
      <t>利率變動型年金保險</t>
    </r>
    <phoneticPr fontId="1" type="noConversion"/>
  </si>
  <si>
    <r>
      <rPr>
        <sz val="10"/>
        <color theme="1"/>
        <rFont val="標楷體"/>
        <family val="4"/>
        <charset val="136"/>
      </rPr>
      <t>投資型年金保險</t>
    </r>
    <phoneticPr fontId="1" type="noConversion"/>
  </si>
  <si>
    <r>
      <rPr>
        <sz val="10"/>
        <color theme="1"/>
        <rFont val="標楷體"/>
        <family val="4"/>
        <charset val="136"/>
      </rPr>
      <t>勞退企業年金保險</t>
    </r>
    <phoneticPr fontId="1" type="noConversion"/>
  </si>
  <si>
    <r>
      <rPr>
        <sz val="10"/>
        <color theme="1"/>
        <rFont val="標楷體"/>
        <family val="4"/>
        <charset val="136"/>
      </rPr>
      <t>勞退個人年金保險</t>
    </r>
    <phoneticPr fontId="1" type="noConversion"/>
  </si>
  <si>
    <r>
      <rPr>
        <sz val="10"/>
        <color theme="1"/>
        <rFont val="標楷體"/>
        <family val="4"/>
        <charset val="136"/>
      </rPr>
      <t>綜合型保險商品</t>
    </r>
    <phoneticPr fontId="1" type="noConversion"/>
  </si>
  <si>
    <r>
      <rPr>
        <sz val="10"/>
        <color theme="1"/>
        <rFont val="標楷體"/>
        <family val="4"/>
        <charset val="136"/>
      </rPr>
      <t>增值方式</t>
    </r>
    <phoneticPr fontId="1" type="noConversion"/>
  </si>
  <si>
    <r>
      <rPr>
        <sz val="10"/>
        <color theme="1"/>
        <rFont val="標楷體"/>
        <family val="4"/>
        <charset val="136"/>
      </rPr>
      <t>未領回生存金</t>
    </r>
    <phoneticPr fontId="1" type="noConversion"/>
  </si>
  <si>
    <r>
      <rPr>
        <sz val="10"/>
        <color theme="1"/>
        <rFont val="標楷體"/>
        <family val="4"/>
        <charset val="136"/>
      </rPr>
      <t>給付時點</t>
    </r>
    <phoneticPr fontId="1" type="noConversion"/>
  </si>
  <si>
    <r>
      <rPr>
        <sz val="10"/>
        <color theme="1"/>
        <rFont val="標楷體"/>
        <family val="4"/>
        <charset val="136"/>
      </rPr>
      <t>無給付</t>
    </r>
    <phoneticPr fontId="1" type="noConversion"/>
  </si>
  <si>
    <r>
      <rPr>
        <sz val="10"/>
        <color theme="1"/>
        <rFont val="標楷體"/>
        <family val="4"/>
        <charset val="136"/>
      </rPr>
      <t>固定</t>
    </r>
  </si>
  <si>
    <r>
      <rPr>
        <sz val="10"/>
        <color theme="1"/>
        <rFont val="標楷體"/>
        <family val="4"/>
        <charset val="136"/>
      </rPr>
      <t>最少</t>
    </r>
  </si>
  <si>
    <r>
      <rPr>
        <sz val="10"/>
        <color theme="1"/>
        <rFont val="標楷體"/>
        <family val="4"/>
        <charset val="136"/>
      </rPr>
      <t>單利</t>
    </r>
  </si>
  <si>
    <r>
      <rPr>
        <sz val="10"/>
        <color theme="1"/>
        <rFont val="標楷體"/>
        <family val="4"/>
        <charset val="136"/>
      </rPr>
      <t>加計給付</t>
    </r>
    <phoneticPr fontId="1" type="noConversion"/>
  </si>
  <si>
    <r>
      <rPr>
        <sz val="10"/>
        <color theme="1"/>
        <rFont val="標楷體"/>
        <family val="4"/>
        <charset val="136"/>
      </rPr>
      <t>複利</t>
    </r>
  </si>
  <si>
    <r>
      <rPr>
        <sz val="10"/>
        <color theme="1"/>
        <rFont val="標楷體"/>
        <family val="4"/>
        <charset val="136"/>
      </rPr>
      <t>最多</t>
    </r>
  </si>
  <si>
    <r>
      <rPr>
        <sz val="10"/>
        <color theme="1"/>
        <rFont val="標楷體"/>
        <family val="4"/>
        <charset val="136"/>
      </rPr>
      <t>繳費期滿</t>
    </r>
  </si>
  <si>
    <r>
      <rPr>
        <sz val="10"/>
        <color theme="1"/>
        <rFont val="標楷體"/>
        <family val="4"/>
        <charset val="136"/>
      </rPr>
      <t>保障結束</t>
    </r>
  </si>
  <si>
    <r>
      <rPr>
        <sz val="10"/>
        <color theme="1"/>
        <rFont val="標楷體"/>
        <family val="4"/>
        <charset val="136"/>
      </rPr>
      <t>指定年度</t>
    </r>
  </si>
  <si>
    <r>
      <rPr>
        <sz val="10"/>
        <color theme="1"/>
        <rFont val="標楷體"/>
        <family val="4"/>
        <charset val="136"/>
      </rPr>
      <t>指定年齡</t>
    </r>
  </si>
  <si>
    <r>
      <rPr>
        <sz val="10"/>
        <color theme="1"/>
        <rFont val="標楷體"/>
        <family val="4"/>
        <charset val="136"/>
      </rPr>
      <t>特別期滿</t>
    </r>
  </si>
  <si>
    <r>
      <rPr>
        <sz val="10"/>
        <color theme="1"/>
        <rFont val="標楷體"/>
        <family val="4"/>
        <charset val="136"/>
      </rPr>
      <t>給付次數</t>
    </r>
    <phoneticPr fontId="1" type="noConversion"/>
  </si>
  <si>
    <r>
      <rPr>
        <sz val="10"/>
        <color theme="1"/>
        <rFont val="標楷體"/>
        <family val="4"/>
        <charset val="136"/>
      </rPr>
      <t>給付單位</t>
    </r>
    <phoneticPr fontId="1" type="noConversion"/>
  </si>
  <si>
    <t>1974 T.S.O.</t>
  </si>
  <si>
    <t>1984 T.S.O.</t>
  </si>
  <si>
    <t>1989 T.S.O.</t>
  </si>
  <si>
    <t>2002 T.S.O.</t>
  </si>
  <si>
    <r>
      <rPr>
        <sz val="10"/>
        <color theme="1"/>
        <rFont val="標楷體"/>
        <family val="4"/>
        <charset val="136"/>
      </rPr>
      <t>生命表</t>
    </r>
    <phoneticPr fontId="1" type="noConversion"/>
  </si>
  <si>
    <r>
      <rPr>
        <sz val="10"/>
        <color theme="1"/>
        <rFont val="標楷體"/>
        <family val="4"/>
        <charset val="136"/>
      </rPr>
      <t>保價金</t>
    </r>
    <phoneticPr fontId="1" type="noConversion"/>
  </si>
  <si>
    <r>
      <rPr>
        <sz val="10"/>
        <color theme="1"/>
        <rFont val="標楷體"/>
        <family val="4"/>
        <charset val="136"/>
      </rPr>
      <t>定價</t>
    </r>
    <phoneticPr fontId="1" type="noConversion"/>
  </si>
  <si>
    <r>
      <rPr>
        <sz val="10"/>
        <color theme="1"/>
        <rFont val="標楷體"/>
        <family val="4"/>
        <charset val="136"/>
      </rPr>
      <t>計算基礎</t>
    </r>
    <phoneticPr fontId="1" type="noConversion"/>
  </si>
  <si>
    <r>
      <t xml:space="preserve">P2 </t>
    </r>
    <r>
      <rPr>
        <sz val="10"/>
        <color theme="1"/>
        <rFont val="標楷體"/>
        <family val="4"/>
        <charset val="136"/>
      </rPr>
      <t>計算法</t>
    </r>
    <phoneticPr fontId="1" type="noConversion"/>
  </si>
  <si>
    <r>
      <rPr>
        <sz val="10"/>
        <color theme="1"/>
        <rFont val="標楷體"/>
        <family val="4"/>
        <charset val="136"/>
      </rPr>
      <t>準備金修正制</t>
    </r>
    <phoneticPr fontId="1" type="noConversion"/>
  </si>
  <si>
    <r>
      <rPr>
        <sz val="10"/>
        <color theme="1"/>
        <rFont val="標楷體"/>
        <family val="4"/>
        <charset val="136"/>
      </rPr>
      <t>存續期間</t>
    </r>
    <phoneticPr fontId="1" type="noConversion"/>
  </si>
  <si>
    <r>
      <rPr>
        <sz val="10"/>
        <color theme="1"/>
        <rFont val="標楷體"/>
        <family val="4"/>
        <charset val="136"/>
      </rPr>
      <t>單位</t>
    </r>
    <phoneticPr fontId="1" type="noConversion"/>
  </si>
  <si>
    <r>
      <rPr>
        <sz val="10"/>
        <color theme="1"/>
        <rFont val="標楷體"/>
        <family val="4"/>
        <charset val="136"/>
      </rPr>
      <t>解約金</t>
    </r>
    <phoneticPr fontId="1" type="noConversion"/>
  </si>
  <si>
    <r>
      <rPr>
        <sz val="10"/>
        <color theme="1"/>
        <rFont val="標楷體"/>
        <family val="4"/>
        <charset val="136"/>
      </rPr>
      <t>當時</t>
    </r>
    <phoneticPr fontId="1" type="noConversion"/>
  </si>
  <si>
    <r>
      <rPr>
        <sz val="10"/>
        <color theme="1"/>
        <rFont val="標楷體"/>
        <family val="4"/>
        <charset val="136"/>
      </rPr>
      <t>鎖定附加費用率</t>
    </r>
    <phoneticPr fontId="1" type="noConversion"/>
  </si>
  <si>
    <r>
      <rPr>
        <sz val="10"/>
        <color theme="1"/>
        <rFont val="標楷體"/>
        <family val="4"/>
        <charset val="136"/>
      </rPr>
      <t>期末</t>
    </r>
    <phoneticPr fontId="1" type="noConversion"/>
  </si>
  <si>
    <r>
      <rPr>
        <sz val="10"/>
        <color theme="1"/>
        <rFont val="標楷體"/>
        <family val="4"/>
        <charset val="136"/>
      </rPr>
      <t>鎖定總保費</t>
    </r>
    <phoneticPr fontId="1" type="noConversion"/>
  </si>
  <si>
    <r>
      <rPr>
        <sz val="10"/>
        <color theme="1"/>
        <rFont val="標楷體"/>
        <family val="4"/>
        <charset val="136"/>
      </rPr>
      <t>公式三</t>
    </r>
  </si>
  <si>
    <r>
      <rPr>
        <sz val="10"/>
        <color theme="1"/>
        <rFont val="標楷體"/>
        <family val="4"/>
        <charset val="136"/>
      </rPr>
      <t>公式四</t>
    </r>
  </si>
  <si>
    <r>
      <rPr>
        <sz val="10"/>
        <color theme="1"/>
        <rFont val="標楷體"/>
        <family val="4"/>
        <charset val="136"/>
      </rPr>
      <t>次年初保額</t>
    </r>
    <phoneticPr fontId="1" type="noConversion"/>
  </si>
  <si>
    <r>
      <rPr>
        <sz val="10"/>
        <color theme="1"/>
        <rFont val="標楷體"/>
        <family val="4"/>
        <charset val="136"/>
      </rPr>
      <t>公式五</t>
    </r>
    <phoneticPr fontId="1" type="noConversion"/>
  </si>
  <si>
    <r>
      <rPr>
        <sz val="10"/>
        <color theme="1"/>
        <rFont val="標楷體"/>
        <family val="4"/>
        <charset val="136"/>
      </rPr>
      <t>附加費用率</t>
    </r>
  </si>
  <si>
    <r>
      <rPr>
        <sz val="10"/>
        <color theme="1"/>
        <rFont val="標楷體"/>
        <family val="4"/>
        <charset val="136"/>
      </rPr>
      <t>差值固定法</t>
    </r>
  </si>
  <si>
    <r>
      <rPr>
        <sz val="10"/>
        <color theme="1"/>
        <rFont val="標楷體"/>
        <family val="4"/>
        <charset val="136"/>
      </rPr>
      <t>歲滿期視為期滿</t>
    </r>
    <phoneticPr fontId="1" type="noConversion"/>
  </si>
  <si>
    <r>
      <rPr>
        <sz val="10"/>
        <color theme="1"/>
        <rFont val="標楷體"/>
        <family val="4"/>
        <charset val="136"/>
      </rPr>
      <t>百元</t>
    </r>
    <phoneticPr fontId="1" type="noConversion"/>
  </si>
  <si>
    <r>
      <rPr>
        <sz val="10"/>
        <color theme="1"/>
        <rFont val="標楷體"/>
        <family val="4"/>
        <charset val="136"/>
      </rPr>
      <t>公式一</t>
    </r>
  </si>
  <si>
    <r>
      <rPr>
        <sz val="10"/>
        <color theme="1"/>
        <rFont val="標楷體"/>
        <family val="4"/>
        <charset val="136"/>
      </rPr>
      <t>總保費</t>
    </r>
  </si>
  <si>
    <r>
      <rPr>
        <sz val="10"/>
        <color theme="1"/>
        <rFont val="標楷體"/>
        <family val="4"/>
        <charset val="136"/>
      </rPr>
      <t>比值固定法</t>
    </r>
  </si>
  <si>
    <r>
      <rPr>
        <sz val="10"/>
        <color theme="1"/>
        <rFont val="標楷體"/>
        <family val="4"/>
        <charset val="136"/>
      </rPr>
      <t>二十年繳費終身保險</t>
    </r>
    <phoneticPr fontId="1" type="noConversion"/>
  </si>
  <si>
    <r>
      <rPr>
        <sz val="10"/>
        <color theme="1"/>
        <rFont val="標楷體"/>
        <family val="4"/>
        <charset val="136"/>
      </rPr>
      <t>千元</t>
    </r>
    <phoneticPr fontId="1" type="noConversion"/>
  </si>
  <si>
    <r>
      <rPr>
        <sz val="10"/>
        <color theme="1"/>
        <rFont val="標楷體"/>
        <family val="4"/>
        <charset val="136"/>
      </rPr>
      <t>公式二</t>
    </r>
  </si>
  <si>
    <r>
      <rPr>
        <sz val="10"/>
        <color theme="1"/>
        <rFont val="標楷體"/>
        <family val="4"/>
        <charset val="136"/>
      </rPr>
      <t>雙版輸入</t>
    </r>
  </si>
  <si>
    <r>
      <rPr>
        <sz val="10"/>
        <color theme="1"/>
        <rFont val="標楷體"/>
        <family val="4"/>
        <charset val="136"/>
      </rPr>
      <t>二十五年滿期生死合險</t>
    </r>
    <phoneticPr fontId="1" type="noConversion"/>
  </si>
  <si>
    <r>
      <rPr>
        <sz val="10"/>
        <color theme="1"/>
        <rFont val="標楷體"/>
        <family val="4"/>
        <charset val="136"/>
      </rPr>
      <t>萬元</t>
    </r>
    <phoneticPr fontId="1" type="noConversion"/>
  </si>
  <si>
    <r>
      <rPr>
        <sz val="10"/>
        <color theme="1"/>
        <rFont val="標楷體"/>
        <family val="4"/>
        <charset val="136"/>
      </rPr>
      <t>十萬元</t>
    </r>
    <phoneticPr fontId="1" type="noConversion"/>
  </si>
  <si>
    <r>
      <rPr>
        <sz val="10"/>
        <color theme="1"/>
        <rFont val="標楷體"/>
        <family val="4"/>
        <charset val="136"/>
      </rPr>
      <t>一年定期修正制</t>
    </r>
    <phoneticPr fontId="1" type="noConversion"/>
  </si>
  <si>
    <r>
      <rPr>
        <sz val="10"/>
        <color theme="1"/>
        <rFont val="標楷體"/>
        <family val="4"/>
        <charset val="136"/>
      </rPr>
      <t>歲滿期依保障年數平均</t>
    </r>
    <phoneticPr fontId="1" type="noConversion"/>
  </si>
  <si>
    <r>
      <rPr>
        <sz val="10"/>
        <color theme="1"/>
        <rFont val="標楷體"/>
        <family val="4"/>
        <charset val="136"/>
      </rPr>
      <t>展期身故保障</t>
    </r>
    <phoneticPr fontId="1" type="noConversion"/>
  </si>
  <si>
    <r>
      <rPr>
        <sz val="10"/>
        <color theme="1"/>
        <rFont val="標楷體"/>
        <family val="4"/>
        <charset val="136"/>
      </rPr>
      <t>展期未滿</t>
    </r>
    <r>
      <rPr>
        <sz val="10"/>
        <color theme="1"/>
        <rFont val="Trebuchet MS"/>
        <family val="2"/>
      </rPr>
      <t>16</t>
    </r>
    <r>
      <rPr>
        <sz val="10"/>
        <color theme="1"/>
        <rFont val="標楷體"/>
        <family val="4"/>
        <charset val="136"/>
      </rPr>
      <t>歲</t>
    </r>
    <phoneticPr fontId="1" type="noConversion"/>
  </si>
  <si>
    <r>
      <rPr>
        <sz val="10"/>
        <color theme="1"/>
        <rFont val="標楷體"/>
        <family val="4"/>
        <charset val="136"/>
      </rPr>
      <t>利變保單</t>
    </r>
    <phoneticPr fontId="1" type="noConversion"/>
  </si>
  <si>
    <r>
      <rPr>
        <sz val="10"/>
        <color theme="1"/>
        <rFont val="標楷體"/>
        <family val="4"/>
        <charset val="136"/>
      </rPr>
      <t>分紅保單</t>
    </r>
    <phoneticPr fontId="1" type="noConversion"/>
  </si>
  <si>
    <r>
      <rPr>
        <sz val="10"/>
        <color theme="1"/>
        <rFont val="標楷體"/>
        <family val="4"/>
        <charset val="136"/>
      </rPr>
      <t>當時保額金額</t>
    </r>
    <phoneticPr fontId="1" type="noConversion"/>
  </si>
  <si>
    <r>
      <rPr>
        <sz val="10"/>
        <color theme="1"/>
        <rFont val="標楷體"/>
        <family val="4"/>
        <charset val="136"/>
      </rPr>
      <t>固定</t>
    </r>
    <phoneticPr fontId="1" type="noConversion"/>
  </si>
  <si>
    <r>
      <rPr>
        <sz val="10"/>
        <color theme="1"/>
        <rFont val="標楷體"/>
        <family val="4"/>
        <charset val="136"/>
      </rPr>
      <t>開放</t>
    </r>
    <phoneticPr fontId="1" type="noConversion"/>
  </si>
  <si>
    <r>
      <t>max(</t>
    </r>
    <r>
      <rPr>
        <sz val="10"/>
        <color theme="1"/>
        <rFont val="標楷體"/>
        <family val="4"/>
        <charset val="136"/>
      </rPr>
      <t>原型態</t>
    </r>
    <r>
      <rPr>
        <sz val="10"/>
        <color theme="1"/>
        <rFont val="Trebuchet MS"/>
        <family val="2"/>
      </rPr>
      <t>,</t>
    </r>
    <r>
      <rPr>
        <sz val="10"/>
        <color theme="1"/>
        <rFont val="標楷體"/>
        <family val="4"/>
        <charset val="136"/>
      </rPr>
      <t>躉繳保費加計利息</t>
    </r>
    <r>
      <rPr>
        <sz val="10"/>
        <color theme="1"/>
        <rFont val="Trebuchet MS"/>
        <family val="2"/>
      </rPr>
      <t>)</t>
    </r>
    <phoneticPr fontId="1" type="noConversion"/>
  </si>
  <si>
    <r>
      <rPr>
        <sz val="10"/>
        <color theme="1"/>
        <rFont val="標楷體"/>
        <family val="4"/>
        <charset val="136"/>
      </rPr>
      <t>當時身故給付</t>
    </r>
    <phoneticPr fontId="1" type="noConversion"/>
  </si>
  <si>
    <r>
      <rPr>
        <sz val="10"/>
        <color theme="1"/>
        <rFont val="標楷體"/>
        <family val="4"/>
        <charset val="136"/>
      </rPr>
      <t>不開放</t>
    </r>
    <phoneticPr fontId="1" type="noConversion"/>
  </si>
  <si>
    <r>
      <rPr>
        <sz val="10"/>
        <color theme="1"/>
        <rFont val="標楷體"/>
        <family val="4"/>
        <charset val="136"/>
      </rPr>
      <t>躉繳保費加計利息</t>
    </r>
    <phoneticPr fontId="1" type="noConversion"/>
  </si>
  <si>
    <r>
      <rPr>
        <sz val="10"/>
        <color theme="1"/>
        <rFont val="標楷體"/>
        <family val="4"/>
        <charset val="136"/>
      </rPr>
      <t>無遞迴</t>
    </r>
    <phoneticPr fontId="1" type="noConversion"/>
  </si>
  <si>
    <r>
      <rPr>
        <sz val="10"/>
        <color theme="1"/>
        <rFont val="標楷體"/>
        <family val="4"/>
        <charset val="136"/>
      </rPr>
      <t>保額增值</t>
    </r>
    <phoneticPr fontId="1" type="noConversion"/>
  </si>
  <si>
    <r>
      <rPr>
        <sz val="10"/>
        <color theme="1"/>
        <rFont val="標楷體"/>
        <family val="4"/>
        <charset val="136"/>
      </rPr>
      <t>回饋金</t>
    </r>
    <phoneticPr fontId="1" type="noConversion"/>
  </si>
  <si>
    <r>
      <rPr>
        <sz val="9"/>
        <color theme="1" tint="0.499984740745262"/>
        <rFont val="標楷體"/>
        <family val="4"/>
        <charset val="136"/>
      </rPr>
      <t>檔案路徑：</t>
    </r>
  </si>
  <si>
    <r>
      <rPr>
        <sz val="10"/>
        <color theme="1"/>
        <rFont val="標楷體"/>
        <family val="4"/>
        <charset val="136"/>
      </rPr>
      <t>年繳</t>
    </r>
    <phoneticPr fontId="1" type="noConversion"/>
  </si>
  <si>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</si>
  <si>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標楷體"/>
        <family val="4"/>
        <charset val="136"/>
      </rPr>
      <t>男性</t>
    </r>
  </si>
  <si>
    <r>
      <rPr>
        <sz val="12"/>
        <color theme="1"/>
        <rFont val="標楷體"/>
        <family val="4"/>
        <charset val="136"/>
      </rPr>
      <t>女性</t>
    </r>
  </si>
  <si>
    <t>D&lt;=6</t>
  </si>
  <si>
    <t>6&lt;D&lt;=10</t>
  </si>
  <si>
    <t>10&lt;D&lt;20</t>
  </si>
  <si>
    <t>D&gt;=20</t>
  </si>
  <si>
    <t>PPP &gt;= 6</t>
  </si>
  <si>
    <t>PPP  &lt;  6</t>
  </si>
  <si>
    <t>Per Policy</t>
  </si>
  <si>
    <t>α</t>
  </si>
  <si>
    <t>β</t>
  </si>
  <si>
    <t>γ</t>
  </si>
  <si>
    <t>辦理展時當時退回</t>
    <phoneticPr fontId="1" type="noConversion"/>
  </si>
  <si>
    <r>
      <rPr>
        <sz val="10"/>
        <color theme="1"/>
        <rFont val="標楷體"/>
        <family val="4"/>
        <charset val="136"/>
      </rPr>
      <t>進位方式</t>
    </r>
    <phoneticPr fontId="1" type="noConversion"/>
  </si>
  <si>
    <r>
      <rPr>
        <sz val="10"/>
        <color theme="1"/>
        <rFont val="標楷體"/>
        <family val="4"/>
        <charset val="136"/>
      </rPr>
      <t>計算繳別</t>
    </r>
    <phoneticPr fontId="1" type="noConversion"/>
  </si>
  <si>
    <r>
      <rPr>
        <sz val="10"/>
        <color theme="1"/>
        <rFont val="標楷體"/>
        <family val="4"/>
        <charset val="136"/>
      </rPr>
      <t>未成年年齡</t>
    </r>
    <phoneticPr fontId="1" type="noConversion"/>
  </si>
  <si>
    <r>
      <rPr>
        <sz val="10"/>
        <color theme="1"/>
        <rFont val="標楷體"/>
        <family val="4"/>
        <charset val="136"/>
      </rPr>
      <t>展期剩餘金額</t>
    </r>
    <phoneticPr fontId="1" type="noConversion"/>
  </si>
  <si>
    <r>
      <rPr>
        <sz val="10"/>
        <color theme="1"/>
        <rFont val="標楷體"/>
        <family val="4"/>
        <charset val="136"/>
      </rPr>
      <t>非利變保單</t>
    </r>
    <phoneticPr fontId="1" type="noConversion"/>
  </si>
  <si>
    <r>
      <rPr>
        <sz val="10"/>
        <color theme="1"/>
        <rFont val="標楷體"/>
        <family val="4"/>
        <charset val="136"/>
      </rPr>
      <t>不取位</t>
    </r>
    <phoneticPr fontId="1" type="noConversion"/>
  </si>
  <si>
    <r>
      <rPr>
        <sz val="10"/>
        <color theme="1"/>
        <rFont val="標楷體"/>
        <family val="4"/>
        <charset val="136"/>
      </rPr>
      <t>保險年齡</t>
    </r>
    <phoneticPr fontId="1" type="noConversion"/>
  </si>
  <si>
    <r>
      <rPr>
        <sz val="10"/>
        <color theme="1"/>
        <rFont val="標楷體"/>
        <family val="4"/>
        <charset val="136"/>
      </rPr>
      <t>不分紅保單</t>
    </r>
    <phoneticPr fontId="1" type="noConversion"/>
  </si>
  <si>
    <r>
      <rPr>
        <sz val="10"/>
        <color theme="1"/>
        <rFont val="標楷體"/>
        <family val="4"/>
        <charset val="136"/>
      </rPr>
      <t>四捨五入</t>
    </r>
    <phoneticPr fontId="1" type="noConversion"/>
  </si>
  <si>
    <r>
      <rPr>
        <sz val="10"/>
        <color theme="1"/>
        <rFont val="標楷體"/>
        <family val="4"/>
        <charset val="136"/>
      </rPr>
      <t>半年繳</t>
    </r>
    <phoneticPr fontId="1" type="noConversion"/>
  </si>
  <si>
    <r>
      <rPr>
        <sz val="10"/>
        <color theme="1"/>
        <rFont val="標楷體"/>
        <family val="4"/>
        <charset val="136"/>
      </rPr>
      <t>實際年齡</t>
    </r>
    <phoneticPr fontId="1" type="noConversion"/>
  </si>
  <si>
    <r>
      <rPr>
        <sz val="10"/>
        <color theme="1"/>
        <rFont val="標楷體"/>
        <family val="4"/>
        <charset val="136"/>
      </rPr>
      <t>無條件進位</t>
    </r>
    <phoneticPr fontId="1" type="noConversion"/>
  </si>
  <si>
    <r>
      <rPr>
        <sz val="10"/>
        <color theme="1"/>
        <rFont val="標楷體"/>
        <family val="4"/>
        <charset val="136"/>
      </rPr>
      <t>季繳</t>
    </r>
    <phoneticPr fontId="1" type="noConversion"/>
  </si>
  <si>
    <r>
      <rPr>
        <sz val="10"/>
        <color theme="1"/>
        <rFont val="標楷體"/>
        <family val="4"/>
        <charset val="136"/>
      </rPr>
      <t>當年度保額</t>
    </r>
    <phoneticPr fontId="1" type="noConversion"/>
  </si>
  <si>
    <r>
      <rPr>
        <sz val="10"/>
        <color theme="1"/>
        <rFont val="標楷體"/>
        <family val="4"/>
        <charset val="136"/>
      </rPr>
      <t>無條件捨去</t>
    </r>
    <phoneticPr fontId="1" type="noConversion"/>
  </si>
  <si>
    <r>
      <rPr>
        <sz val="10"/>
        <color theme="1"/>
        <rFont val="標楷體"/>
        <family val="4"/>
        <charset val="136"/>
      </rPr>
      <t>月繳</t>
    </r>
    <phoneticPr fontId="1" type="noConversion"/>
  </si>
  <si>
    <t>購買滿期金(繳費期滿時)</t>
    <phoneticPr fontId="1" type="noConversion"/>
  </si>
  <si>
    <t>購買祝壽金(保障期滿時)</t>
    <phoneticPr fontId="1" type="noConversion"/>
  </si>
  <si>
    <r>
      <rPr>
        <b/>
        <sz val="12"/>
        <color theme="1"/>
        <rFont val="標楷體"/>
        <family val="4"/>
        <charset val="136"/>
      </rPr>
      <t>一、基本資料</t>
    </r>
  </si>
  <si>
    <r>
      <rPr>
        <sz val="10"/>
        <color theme="1"/>
        <rFont val="標楷體"/>
        <family val="4"/>
        <charset val="136"/>
      </rPr>
      <t>險種</t>
    </r>
  </si>
  <si>
    <r>
      <rPr>
        <sz val="10"/>
        <color theme="1"/>
        <rFont val="標楷體"/>
        <family val="4"/>
        <charset val="136"/>
      </rPr>
      <t>幣別</t>
    </r>
  </si>
  <si>
    <r>
      <t xml:space="preserve"># </t>
    </r>
    <r>
      <rPr>
        <sz val="10"/>
        <color theme="1"/>
        <rFont val="標楷體"/>
        <family val="4"/>
        <charset val="136"/>
      </rPr>
      <t>歷史紀錄</t>
    </r>
  </si>
  <si>
    <r>
      <rPr>
        <sz val="10"/>
        <color theme="1"/>
        <rFont val="標楷體"/>
        <family val="4"/>
        <charset val="136"/>
      </rPr>
      <t>日期</t>
    </r>
  </si>
  <si>
    <r>
      <rPr>
        <sz val="10"/>
        <color theme="1"/>
        <rFont val="標楷體"/>
        <family val="4"/>
        <charset val="136"/>
      </rPr>
      <t>代號</t>
    </r>
  </si>
  <si>
    <r>
      <rPr>
        <sz val="10"/>
        <color theme="1"/>
        <rFont val="標楷體"/>
        <family val="4"/>
        <charset val="136"/>
      </rPr>
      <t>說明</t>
    </r>
  </si>
  <si>
    <r>
      <rPr>
        <b/>
        <sz val="12"/>
        <color theme="1"/>
        <rFont val="標楷體"/>
        <family val="4"/>
        <charset val="136"/>
      </rPr>
      <t>二、保單利益</t>
    </r>
  </si>
  <si>
    <r>
      <t>1.</t>
    </r>
    <r>
      <rPr>
        <b/>
        <sz val="10"/>
        <color theme="1"/>
        <rFont val="標楷體"/>
        <family val="4"/>
        <charset val="136"/>
      </rPr>
      <t>保費收取</t>
    </r>
  </si>
  <si>
    <r>
      <t>2.</t>
    </r>
    <r>
      <rPr>
        <b/>
        <sz val="10"/>
        <color theme="1"/>
        <rFont val="標楷體"/>
        <family val="4"/>
        <charset val="136"/>
      </rPr>
      <t>當年度保額</t>
    </r>
  </si>
  <si>
    <r>
      <t xml:space="preserve">              </t>
    </r>
    <r>
      <rPr>
        <sz val="10"/>
        <rFont val="標楷體"/>
        <family val="4"/>
        <charset val="136"/>
      </rPr>
      <t>保額增值方式</t>
    </r>
  </si>
  <si>
    <r>
      <rPr>
        <sz val="10"/>
        <rFont val="標楷體"/>
        <family val="4"/>
        <charset val="136"/>
      </rPr>
      <t>身故後保險金</t>
    </r>
  </si>
  <si>
    <r>
      <rPr>
        <sz val="10"/>
        <rFont val="標楷體"/>
        <family val="4"/>
        <charset val="136"/>
      </rPr>
      <t>未領取生存保險金</t>
    </r>
  </si>
  <si>
    <r>
      <rPr>
        <sz val="10"/>
        <rFont val="標楷體"/>
        <family val="4"/>
        <charset val="136"/>
      </rPr>
      <t>給付類型</t>
    </r>
  </si>
  <si>
    <r>
      <rPr>
        <sz val="10"/>
        <rFont val="標楷體"/>
        <family val="4"/>
        <charset val="136"/>
      </rPr>
      <t>有無給付</t>
    </r>
  </si>
  <si>
    <r>
      <rPr>
        <sz val="10"/>
        <rFont val="標楷體"/>
        <family val="4"/>
        <charset val="136"/>
      </rPr>
      <t>增值方式</t>
    </r>
  </si>
  <si>
    <r>
      <rPr>
        <sz val="10"/>
        <rFont val="標楷體"/>
        <family val="4"/>
        <charset val="136"/>
      </rPr>
      <t>給付限制</t>
    </r>
  </si>
  <si>
    <r>
      <rPr>
        <sz val="10"/>
        <rFont val="標楷體"/>
        <family val="4"/>
        <charset val="136"/>
      </rPr>
      <t>保障時點</t>
    </r>
  </si>
  <si>
    <r>
      <rPr>
        <sz val="10"/>
        <rFont val="標楷體"/>
        <family val="4"/>
        <charset val="136"/>
      </rPr>
      <t>給付次數</t>
    </r>
  </si>
  <si>
    <r>
      <rPr>
        <sz val="10"/>
        <rFont val="標楷體"/>
        <family val="4"/>
        <charset val="136"/>
      </rPr>
      <t>保障年度</t>
    </r>
  </si>
  <si>
    <r>
      <rPr>
        <sz val="10"/>
        <rFont val="標楷體"/>
        <family val="4"/>
        <charset val="136"/>
      </rPr>
      <t>每隔幾年</t>
    </r>
  </si>
  <si>
    <r>
      <rPr>
        <sz val="10"/>
        <rFont val="標楷體"/>
        <family val="4"/>
        <charset val="136"/>
      </rPr>
      <t>給付比例</t>
    </r>
  </si>
  <si>
    <r>
      <rPr>
        <sz val="10"/>
        <rFont val="標楷體"/>
        <family val="4"/>
        <charset val="136"/>
      </rPr>
      <t>折現利率</t>
    </r>
  </si>
  <si>
    <r>
      <rPr>
        <sz val="10"/>
        <rFont val="標楷體"/>
        <family val="4"/>
        <charset val="136"/>
      </rPr>
      <t>利率</t>
    </r>
  </si>
  <si>
    <r>
      <rPr>
        <sz val="10"/>
        <rFont val="標楷體"/>
        <family val="4"/>
        <charset val="136"/>
      </rPr>
      <t>給付倍數</t>
    </r>
  </si>
  <si>
    <r>
      <t>3.</t>
    </r>
    <r>
      <rPr>
        <b/>
        <sz val="10"/>
        <color theme="1"/>
        <rFont val="標楷體"/>
        <family val="4"/>
        <charset val="136"/>
      </rPr>
      <t>身故保險金</t>
    </r>
  </si>
  <si>
    <r>
      <rPr>
        <sz val="10"/>
        <color theme="1"/>
        <rFont val="標楷體"/>
        <family val="4"/>
        <charset val="136"/>
      </rPr>
      <t>後，遞迴</t>
    </r>
  </si>
  <si>
    <r>
      <rPr>
        <sz val="10"/>
        <color theme="3"/>
        <rFont val="標楷體"/>
        <family val="4"/>
        <charset val="136"/>
      </rPr>
      <t>註：負值表遞迴至收斂。</t>
    </r>
  </si>
  <si>
    <r>
      <rPr>
        <sz val="10"/>
        <color theme="1"/>
        <rFont val="標楷體"/>
        <family val="4"/>
        <charset val="136"/>
      </rPr>
      <t>倍數</t>
    </r>
    <r>
      <rPr>
        <sz val="10"/>
        <color theme="1"/>
        <rFont val="Trebuchet MS"/>
        <family val="2"/>
      </rPr>
      <t xml:space="preserve"> </t>
    </r>
  </si>
  <si>
    <r>
      <t xml:space="preserve"># </t>
    </r>
    <r>
      <rPr>
        <sz val="10"/>
        <color theme="1"/>
        <rFont val="標楷體"/>
        <family val="4"/>
        <charset val="136"/>
      </rPr>
      <t>保險法</t>
    </r>
    <r>
      <rPr>
        <sz val="10"/>
        <color theme="1"/>
        <rFont val="Trebuchet MS"/>
        <family val="2"/>
      </rPr>
      <t>107</t>
    </r>
    <r>
      <rPr>
        <sz val="10"/>
        <color theme="1"/>
        <rFont val="標楷體"/>
        <family val="4"/>
        <charset val="136"/>
      </rPr>
      <t>條</t>
    </r>
  </si>
  <si>
    <r>
      <rPr>
        <sz val="10"/>
        <color theme="1"/>
        <rFont val="標楷體"/>
        <family val="4"/>
        <charset val="136"/>
      </rPr>
      <t>改退還保費加計利息，利息</t>
    </r>
    <r>
      <rPr>
        <sz val="10"/>
        <color theme="1"/>
        <rFont val="Trebuchet MS"/>
        <family val="2"/>
      </rPr>
      <t>=</t>
    </r>
  </si>
  <si>
    <r>
      <t>4.</t>
    </r>
    <r>
      <rPr>
        <b/>
        <sz val="10"/>
        <color theme="1"/>
        <rFont val="標楷體"/>
        <family val="4"/>
        <charset val="136"/>
      </rPr>
      <t>滿期金、祝壽金</t>
    </r>
  </si>
  <si>
    <r>
      <rPr>
        <sz val="10"/>
        <color theme="1"/>
        <rFont val="標楷體"/>
        <family val="4"/>
        <charset val="136"/>
      </rPr>
      <t>項目</t>
    </r>
    <r>
      <rPr>
        <sz val="10"/>
        <color theme="1"/>
        <rFont val="Trebuchet MS"/>
        <family val="2"/>
      </rPr>
      <t>\</t>
    </r>
    <r>
      <rPr>
        <sz val="10"/>
        <color theme="1"/>
        <rFont val="標楷體"/>
        <family val="4"/>
        <charset val="136"/>
      </rPr>
      <t>筆數</t>
    </r>
  </si>
  <si>
    <r>
      <rPr>
        <sz val="10"/>
        <color theme="1"/>
        <rFont val="標楷體"/>
        <family val="4"/>
        <charset val="136"/>
      </rPr>
      <t>給付單位</t>
    </r>
  </si>
  <si>
    <r>
      <rPr>
        <sz val="10"/>
        <color theme="1"/>
        <rFont val="標楷體"/>
        <family val="4"/>
        <charset val="136"/>
      </rPr>
      <t>給付時點</t>
    </r>
  </si>
  <si>
    <r>
      <rPr>
        <sz val="10"/>
        <color theme="1"/>
        <rFont val="標楷體"/>
        <family val="4"/>
        <charset val="136"/>
      </rPr>
      <t>給付年度</t>
    </r>
  </si>
  <si>
    <r>
      <rPr>
        <sz val="10"/>
        <color theme="1"/>
        <rFont val="標楷體"/>
        <family val="4"/>
        <charset val="136"/>
      </rPr>
      <t>給付倍數</t>
    </r>
  </si>
  <si>
    <r>
      <t xml:space="preserve">5. </t>
    </r>
    <r>
      <rPr>
        <b/>
        <sz val="10"/>
        <color theme="1"/>
        <rFont val="標楷體"/>
        <family val="4"/>
        <charset val="136"/>
      </rPr>
      <t>生存年金</t>
    </r>
  </si>
  <si>
    <r>
      <rPr>
        <sz val="10"/>
        <color theme="1"/>
        <rFont val="標楷體"/>
        <family val="4"/>
        <charset val="136"/>
      </rPr>
      <t>給付型態</t>
    </r>
  </si>
  <si>
    <r>
      <rPr>
        <sz val="10"/>
        <color theme="1"/>
        <rFont val="標楷體"/>
        <family val="4"/>
        <charset val="136"/>
      </rPr>
      <t>次數起點</t>
    </r>
  </si>
  <si>
    <r>
      <rPr>
        <sz val="10"/>
        <color theme="1"/>
        <rFont val="標楷體"/>
        <family val="4"/>
        <charset val="136"/>
      </rPr>
      <t>給付比例</t>
    </r>
  </si>
  <si>
    <r>
      <rPr>
        <sz val="10"/>
        <color theme="1"/>
        <rFont val="標楷體"/>
        <family val="4"/>
        <charset val="136"/>
      </rPr>
      <t>給付類型</t>
    </r>
  </si>
  <si>
    <r>
      <rPr>
        <sz val="10"/>
        <color theme="1"/>
        <rFont val="標楷體"/>
        <family val="4"/>
        <charset val="136"/>
      </rPr>
      <t>首付年度</t>
    </r>
  </si>
  <si>
    <r>
      <rPr>
        <sz val="10"/>
        <color theme="1"/>
        <rFont val="標楷體"/>
        <family val="4"/>
        <charset val="136"/>
      </rPr>
      <t>每隔幾年</t>
    </r>
  </si>
  <si>
    <r>
      <rPr>
        <sz val="10"/>
        <color theme="1"/>
        <rFont val="標楷體"/>
        <family val="4"/>
        <charset val="136"/>
      </rPr>
      <t>進位法則</t>
    </r>
  </si>
  <si>
    <r>
      <rPr>
        <b/>
        <sz val="12"/>
        <color theme="1"/>
        <rFont val="標楷體"/>
        <family val="4"/>
        <charset val="136"/>
      </rPr>
      <t>三、年期設定</t>
    </r>
  </si>
  <si>
    <r>
      <rPr>
        <sz val="10"/>
        <color indexed="8"/>
        <rFont val="標楷體"/>
        <family val="4"/>
        <charset val="136"/>
      </rPr>
      <t>名稱</t>
    </r>
  </si>
  <si>
    <r>
      <rPr>
        <b/>
        <sz val="12"/>
        <color theme="1"/>
        <rFont val="標楷體"/>
        <family val="4"/>
        <charset val="136"/>
      </rPr>
      <t>四、相關計算設定</t>
    </r>
  </si>
  <si>
    <r>
      <t xml:space="preserve">1. </t>
    </r>
    <r>
      <rPr>
        <b/>
        <sz val="10"/>
        <color theme="1"/>
        <rFont val="標楷體"/>
        <family val="4"/>
        <charset val="136"/>
      </rPr>
      <t>死亡率</t>
    </r>
  </si>
  <si>
    <r>
      <rPr>
        <sz val="10"/>
        <color theme="1"/>
        <rFont val="標楷體"/>
        <family val="4"/>
        <charset val="136"/>
      </rPr>
      <t>生命表使用</t>
    </r>
  </si>
  <si>
    <r>
      <rPr>
        <sz val="10"/>
        <color theme="1"/>
        <rFont val="標楷體"/>
        <family val="4"/>
        <charset val="136"/>
      </rPr>
      <t>預定死亡率</t>
    </r>
    <r>
      <rPr>
        <sz val="10"/>
        <color theme="1"/>
        <rFont val="Trebuchet MS"/>
        <family val="2"/>
      </rPr>
      <t>x</t>
    </r>
  </si>
  <si>
    <r>
      <rPr>
        <sz val="10"/>
        <color theme="1"/>
        <rFont val="標楷體"/>
        <family val="4"/>
        <charset val="136"/>
      </rPr>
      <t>提存死亡率</t>
    </r>
    <r>
      <rPr>
        <sz val="10"/>
        <color theme="1"/>
        <rFont val="Trebuchet MS"/>
        <family val="2"/>
      </rPr>
      <t>x</t>
    </r>
  </si>
  <si>
    <r>
      <t xml:space="preserve">2. </t>
    </r>
    <r>
      <rPr>
        <b/>
        <sz val="10"/>
        <color theme="1"/>
        <rFont val="標楷體"/>
        <family val="4"/>
        <charset val="136"/>
      </rPr>
      <t>預定利率</t>
    </r>
  </si>
  <si>
    <r>
      <rPr>
        <sz val="10"/>
        <rFont val="標楷體"/>
        <family val="4"/>
        <charset val="136"/>
      </rPr>
      <t>負債存續期間</t>
    </r>
  </si>
  <si>
    <r>
      <t xml:space="preserve">4. </t>
    </r>
    <r>
      <rPr>
        <b/>
        <sz val="10"/>
        <color theme="1"/>
        <rFont val="標楷體"/>
        <family val="4"/>
        <charset val="136"/>
      </rPr>
      <t>計算繳別</t>
    </r>
  </si>
  <si>
    <r>
      <t xml:space="preserve"> </t>
    </r>
    <r>
      <rPr>
        <b/>
        <sz val="10"/>
        <color theme="1"/>
        <rFont val="標楷體"/>
        <family val="4"/>
        <charset val="136"/>
      </rPr>
      <t>費率係數</t>
    </r>
  </si>
  <si>
    <r>
      <rPr>
        <sz val="10"/>
        <color theme="1"/>
        <rFont val="標楷體"/>
        <family val="4"/>
        <charset val="136"/>
      </rPr>
      <t>年繳</t>
    </r>
  </si>
  <si>
    <r>
      <rPr>
        <sz val="10"/>
        <rFont val="標楷體"/>
        <family val="4"/>
        <charset val="136"/>
      </rPr>
      <t>半年繳</t>
    </r>
  </si>
  <si>
    <r>
      <rPr>
        <sz val="10"/>
        <rFont val="標楷體"/>
        <family val="4"/>
        <charset val="136"/>
      </rPr>
      <t>季繳</t>
    </r>
  </si>
  <si>
    <r>
      <rPr>
        <sz val="10"/>
        <rFont val="標楷體"/>
        <family val="4"/>
        <charset val="136"/>
      </rPr>
      <t>月繳</t>
    </r>
  </si>
  <si>
    <r>
      <rPr>
        <sz val="10"/>
        <color theme="1"/>
        <rFont val="標楷體"/>
        <family val="4"/>
        <charset val="136"/>
      </rPr>
      <t>註：</t>
    </r>
    <r>
      <rPr>
        <sz val="10"/>
        <color theme="1"/>
        <rFont val="Trebuchet MS"/>
        <family val="2"/>
      </rPr>
      <t>0</t>
    </r>
    <r>
      <rPr>
        <sz val="10"/>
        <color theme="1"/>
        <rFont val="標楷體"/>
        <family val="4"/>
        <charset val="136"/>
      </rPr>
      <t>表示無該繳別</t>
    </r>
  </si>
  <si>
    <r>
      <t xml:space="preserve">5. </t>
    </r>
    <r>
      <rPr>
        <b/>
        <sz val="10"/>
        <color theme="1"/>
        <rFont val="標楷體"/>
        <family val="4"/>
        <charset val="136"/>
      </rPr>
      <t>定存利率</t>
    </r>
  </si>
  <si>
    <r>
      <t xml:space="preserve">6. </t>
    </r>
    <r>
      <rPr>
        <b/>
        <sz val="10"/>
        <color theme="1"/>
        <rFont val="標楷體"/>
        <family val="4"/>
        <charset val="136"/>
      </rPr>
      <t>保費折扣率</t>
    </r>
  </si>
  <si>
    <r>
      <t xml:space="preserve">7. </t>
    </r>
    <r>
      <rPr>
        <b/>
        <sz val="10"/>
        <color theme="1"/>
        <rFont val="標楷體"/>
        <family val="4"/>
        <charset val="136"/>
      </rPr>
      <t>計算基礎</t>
    </r>
  </si>
  <si>
    <r>
      <t xml:space="preserve">8. P2 </t>
    </r>
    <r>
      <rPr>
        <b/>
        <sz val="10"/>
        <color theme="1"/>
        <rFont val="標楷體"/>
        <family val="4"/>
        <charset val="136"/>
      </rPr>
      <t>計算法</t>
    </r>
  </si>
  <si>
    <r>
      <rPr>
        <sz val="10"/>
        <color theme="1"/>
        <rFont val="標楷體"/>
        <family val="4"/>
        <charset val="136"/>
      </rPr>
      <t>差值固定法為法定方法。</t>
    </r>
  </si>
  <si>
    <r>
      <t xml:space="preserve">9. </t>
    </r>
    <r>
      <rPr>
        <b/>
        <sz val="10"/>
        <color theme="1"/>
        <rFont val="標楷體"/>
        <family val="4"/>
        <charset val="136"/>
      </rPr>
      <t>修正制</t>
    </r>
  </si>
  <si>
    <r>
      <t xml:space="preserve">10. </t>
    </r>
    <r>
      <rPr>
        <b/>
        <sz val="10"/>
        <color theme="1"/>
        <rFont val="標楷體"/>
        <family val="4"/>
        <charset val="136"/>
      </rPr>
      <t>存續期間</t>
    </r>
  </si>
  <si>
    <r>
      <t xml:space="preserve">11. </t>
    </r>
    <r>
      <rPr>
        <b/>
        <sz val="10"/>
        <color theme="1"/>
        <rFont val="標楷體"/>
        <family val="4"/>
        <charset val="136"/>
      </rPr>
      <t>單位選擇</t>
    </r>
  </si>
  <si>
    <r>
      <rPr>
        <sz val="10"/>
        <color theme="1"/>
        <rFont val="標楷體"/>
        <family val="4"/>
        <charset val="136"/>
      </rPr>
      <t>保費</t>
    </r>
  </si>
  <si>
    <r>
      <rPr>
        <sz val="10"/>
        <color theme="1"/>
        <rFont val="標楷體"/>
        <family val="4"/>
        <charset val="136"/>
      </rPr>
      <t>準備金</t>
    </r>
  </si>
  <si>
    <r>
      <t xml:space="preserve">12. </t>
    </r>
    <r>
      <rPr>
        <b/>
        <sz val="10"/>
        <color theme="1"/>
        <rFont val="標楷體"/>
        <family val="4"/>
        <charset val="136"/>
      </rPr>
      <t>解約金</t>
    </r>
  </si>
  <si>
    <r>
      <rPr>
        <sz val="10"/>
        <rFont val="標楷體"/>
        <family val="4"/>
        <charset val="136"/>
      </rPr>
      <t>公式</t>
    </r>
    <r>
      <rPr>
        <sz val="10"/>
        <rFont val="Trebuchet MS"/>
        <family val="2"/>
      </rPr>
      <t>1</t>
    </r>
  </si>
  <si>
    <r>
      <rPr>
        <sz val="10"/>
        <rFont val="標楷體"/>
        <family val="4"/>
        <charset val="136"/>
      </rPr>
      <t>公式</t>
    </r>
    <r>
      <rPr>
        <sz val="10"/>
        <rFont val="Trebuchet MS"/>
        <family val="2"/>
      </rPr>
      <t>2</t>
    </r>
  </si>
  <si>
    <r>
      <rPr>
        <sz val="10"/>
        <color theme="1"/>
        <rFont val="標楷體"/>
        <family val="4"/>
        <charset val="136"/>
      </rPr>
      <t>首年比利</t>
    </r>
  </si>
  <si>
    <r>
      <rPr>
        <sz val="10"/>
        <color theme="1"/>
        <rFont val="標楷體"/>
        <family val="4"/>
        <charset val="136"/>
      </rPr>
      <t>繳費期滿前</t>
    </r>
  </si>
  <si>
    <r>
      <rPr>
        <sz val="10"/>
        <color theme="1"/>
        <rFont val="標楷體"/>
        <family val="4"/>
        <charset val="136"/>
      </rPr>
      <t>繳費期滿後</t>
    </r>
  </si>
  <si>
    <r>
      <rPr>
        <sz val="10"/>
        <rFont val="標楷體"/>
        <family val="4"/>
        <charset val="136"/>
      </rPr>
      <t>公式</t>
    </r>
    <r>
      <rPr>
        <sz val="10"/>
        <rFont val="Trebuchet MS"/>
        <family val="2"/>
      </rPr>
      <t>3</t>
    </r>
  </si>
  <si>
    <r>
      <rPr>
        <sz val="10"/>
        <color theme="1"/>
        <rFont val="標楷體"/>
        <family val="4"/>
        <charset val="136"/>
      </rPr>
      <t>每年折扣比率</t>
    </r>
  </si>
  <si>
    <r>
      <rPr>
        <sz val="10"/>
        <rFont val="標楷體"/>
        <family val="4"/>
        <charset val="136"/>
      </rPr>
      <t>公式</t>
    </r>
    <r>
      <rPr>
        <sz val="10"/>
        <rFont val="Trebuchet MS"/>
        <family val="2"/>
      </rPr>
      <t>4</t>
    </r>
  </si>
  <si>
    <r>
      <rPr>
        <sz val="10"/>
        <rFont val="標楷體"/>
        <family val="4"/>
        <charset val="136"/>
      </rPr>
      <t>公式</t>
    </r>
    <r>
      <rPr>
        <sz val="10"/>
        <rFont val="Trebuchet MS"/>
        <family val="2"/>
      </rPr>
      <t>5</t>
    </r>
  </si>
  <si>
    <r>
      <t xml:space="preserve">13. </t>
    </r>
    <r>
      <rPr>
        <b/>
        <sz val="10"/>
        <color theme="1"/>
        <rFont val="標楷體"/>
        <family val="4"/>
        <charset val="136"/>
      </rPr>
      <t>契變費用</t>
    </r>
  </si>
  <si>
    <r>
      <rPr>
        <sz val="10"/>
        <color theme="1"/>
        <rFont val="標楷體"/>
        <family val="4"/>
        <charset val="136"/>
      </rPr>
      <t>基本保額之</t>
    </r>
  </si>
  <si>
    <r>
      <t xml:space="preserve">14. </t>
    </r>
    <r>
      <rPr>
        <b/>
        <sz val="10"/>
        <rFont val="標楷體"/>
        <family val="4"/>
        <charset val="136"/>
      </rPr>
      <t>展期計算</t>
    </r>
  </si>
  <si>
    <r>
      <rPr>
        <sz val="10"/>
        <color theme="1"/>
        <rFont val="標楷體"/>
        <family val="4"/>
        <charset val="136"/>
      </rPr>
      <t>身故保障按</t>
    </r>
  </si>
  <si>
    <r>
      <rPr>
        <sz val="10"/>
        <color theme="1"/>
        <rFont val="標楷體"/>
        <family val="4"/>
        <charset val="136"/>
      </rPr>
      <t>剩餘金額將</t>
    </r>
  </si>
  <si>
    <r>
      <rPr>
        <sz val="10"/>
        <color theme="1"/>
        <rFont val="標楷體"/>
        <family val="4"/>
        <charset val="136"/>
      </rPr>
      <t>，並</t>
    </r>
  </si>
  <si>
    <r>
      <rPr>
        <sz val="10"/>
        <color theme="1"/>
        <rFont val="標楷體"/>
        <family val="4"/>
        <charset val="136"/>
      </rPr>
      <t>未成年辦理展期</t>
    </r>
  </si>
  <si>
    <r>
      <t xml:space="preserve">15. </t>
    </r>
    <r>
      <rPr>
        <b/>
        <sz val="10"/>
        <color theme="1"/>
        <rFont val="標楷體"/>
        <family val="4"/>
        <charset val="136"/>
      </rPr>
      <t>減額繳清</t>
    </r>
  </si>
  <si>
    <r>
      <rPr>
        <sz val="10"/>
        <color theme="1"/>
        <rFont val="標楷體"/>
        <family val="4"/>
        <charset val="136"/>
      </rPr>
      <t>未成年時退</t>
    </r>
  </si>
  <si>
    <r>
      <rPr>
        <sz val="10"/>
        <color theme="1"/>
        <rFont val="標楷體"/>
        <family val="4"/>
        <charset val="136"/>
      </rPr>
      <t>，其中利息</t>
    </r>
    <r>
      <rPr>
        <sz val="10"/>
        <color theme="1"/>
        <rFont val="Trebuchet MS"/>
        <family val="2"/>
      </rPr>
      <t xml:space="preserve"> =</t>
    </r>
  </si>
  <si>
    <r>
      <t xml:space="preserve">16. </t>
    </r>
    <r>
      <rPr>
        <b/>
        <sz val="10"/>
        <color theme="1"/>
        <rFont val="標楷體"/>
        <family val="4"/>
        <charset val="136"/>
      </rPr>
      <t>保額上限</t>
    </r>
  </si>
  <si>
    <r>
      <rPr>
        <sz val="10"/>
        <color theme="1"/>
        <rFont val="標楷體"/>
        <family val="4"/>
        <charset val="136"/>
      </rPr>
      <t>，若低於</t>
    </r>
    <r>
      <rPr>
        <sz val="10"/>
        <color theme="1"/>
        <rFont val="Trebuchet MS"/>
        <family val="2"/>
      </rPr>
      <t>(</t>
    </r>
    <r>
      <rPr>
        <sz val="10"/>
        <color theme="1"/>
        <rFont val="標楷體"/>
        <family val="4"/>
        <charset val="136"/>
      </rPr>
      <t>含</t>
    </r>
    <r>
      <rPr>
        <sz val="10"/>
        <color theme="1"/>
        <rFont val="Trebuchet MS"/>
        <family val="2"/>
      </rPr>
      <t>)</t>
    </r>
  </si>
  <si>
    <r>
      <rPr>
        <sz val="10"/>
        <color theme="1"/>
        <rFont val="標楷體"/>
        <family val="4"/>
        <charset val="136"/>
      </rPr>
      <t>，若超過</t>
    </r>
    <r>
      <rPr>
        <sz val="10"/>
        <color theme="1"/>
        <rFont val="Trebuchet MS"/>
        <family val="2"/>
      </rPr>
      <t>(</t>
    </r>
    <r>
      <rPr>
        <sz val="10"/>
        <color theme="1"/>
        <rFont val="標楷體"/>
        <family val="4"/>
        <charset val="136"/>
      </rPr>
      <t>含</t>
    </r>
    <r>
      <rPr>
        <sz val="10"/>
        <color theme="1"/>
        <rFont val="Trebuchet MS"/>
        <family val="2"/>
      </rPr>
      <t>)</t>
    </r>
  </si>
  <si>
    <r>
      <rPr>
        <sz val="10"/>
        <color theme="1"/>
        <rFont val="標楷體"/>
        <family val="4"/>
        <charset val="136"/>
      </rPr>
      <t>註：同計價幣別</t>
    </r>
  </si>
  <si>
    <r>
      <t xml:space="preserve">17. </t>
    </r>
    <r>
      <rPr>
        <b/>
        <sz val="10"/>
        <color theme="1"/>
        <rFont val="標楷體"/>
        <family val="4"/>
        <charset val="136"/>
      </rPr>
      <t>利變</t>
    </r>
  </si>
  <si>
    <r>
      <rPr>
        <sz val="10"/>
        <color theme="1"/>
        <rFont val="標楷體"/>
        <family val="4"/>
        <charset val="136"/>
      </rPr>
      <t>宣告利率</t>
    </r>
    <r>
      <rPr>
        <sz val="10"/>
        <color theme="1"/>
        <rFont val="Trebuchet MS"/>
        <family val="2"/>
      </rPr>
      <t xml:space="preserve"> =</t>
    </r>
  </si>
  <si>
    <r>
      <t xml:space="preserve">18. </t>
    </r>
    <r>
      <rPr>
        <b/>
        <sz val="10"/>
        <color theme="1"/>
        <rFont val="標楷體"/>
        <family val="4"/>
        <charset val="136"/>
      </rPr>
      <t>分紅</t>
    </r>
  </si>
  <si>
    <r>
      <rPr>
        <sz val="10"/>
        <color theme="1"/>
        <rFont val="標楷體"/>
        <family val="4"/>
        <charset val="136"/>
      </rPr>
      <t>分紅利率</t>
    </r>
    <r>
      <rPr>
        <sz val="10"/>
        <color theme="1"/>
        <rFont val="Trebuchet MS"/>
        <family val="2"/>
      </rPr>
      <t xml:space="preserve"> =</t>
    </r>
  </si>
  <si>
    <r>
      <rPr>
        <b/>
        <sz val="12"/>
        <color theme="1"/>
        <rFont val="標楷體"/>
        <family val="4"/>
        <charset val="136"/>
      </rPr>
      <t>五、利潤測試設定</t>
    </r>
  </si>
  <si>
    <r>
      <t xml:space="preserve">A. </t>
    </r>
    <r>
      <rPr>
        <b/>
        <sz val="10"/>
        <color theme="1"/>
        <rFont val="標楷體"/>
        <family val="4"/>
        <charset val="136"/>
      </rPr>
      <t>基本項目</t>
    </r>
  </si>
  <si>
    <r>
      <t>1.</t>
    </r>
    <r>
      <rPr>
        <sz val="10"/>
        <color theme="1"/>
        <rFont val="標楷體"/>
        <family val="4"/>
        <charset val="136"/>
      </rPr>
      <t>投資投報率</t>
    </r>
  </si>
  <si>
    <r>
      <t>4.</t>
    </r>
    <r>
      <rPr>
        <sz val="10"/>
        <color theme="1"/>
        <rFont val="標楷體"/>
        <family val="4"/>
        <charset val="136"/>
      </rPr>
      <t>死亡率</t>
    </r>
  </si>
  <si>
    <r>
      <t>5.</t>
    </r>
    <r>
      <rPr>
        <sz val="10"/>
        <color theme="1"/>
        <rFont val="標楷體"/>
        <family val="4"/>
        <charset val="136"/>
      </rPr>
      <t>解約率假設</t>
    </r>
  </si>
  <si>
    <r>
      <rPr>
        <sz val="10"/>
        <color theme="1"/>
        <rFont val="標楷體"/>
        <family val="4"/>
        <charset val="136"/>
      </rPr>
      <t>財專呆</t>
    </r>
  </si>
  <si>
    <r>
      <rPr>
        <sz val="10"/>
        <color theme="1"/>
        <rFont val="標楷體"/>
        <family val="4"/>
        <charset val="136"/>
      </rPr>
      <t>營業稅率</t>
    </r>
  </si>
  <si>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</si>
  <si>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標楷體"/>
        <family val="4"/>
        <charset val="136"/>
      </rPr>
      <t>男性</t>
    </r>
  </si>
  <si>
    <r>
      <rPr>
        <sz val="10"/>
        <color theme="1"/>
        <rFont val="標楷體"/>
        <family val="4"/>
        <charset val="136"/>
      </rPr>
      <t>女性</t>
    </r>
  </si>
  <si>
    <r>
      <rPr>
        <sz val="9"/>
        <rFont val="標楷體"/>
        <family val="4"/>
        <charset val="136"/>
      </rPr>
      <t>年期代碼</t>
    </r>
  </si>
  <si>
    <r>
      <rPr>
        <sz val="9"/>
        <rFont val="標楷體"/>
        <family val="4"/>
        <charset val="136"/>
      </rPr>
      <t>繳費期間</t>
    </r>
  </si>
  <si>
    <r>
      <rPr>
        <sz val="9"/>
        <rFont val="標楷體"/>
        <family val="4"/>
        <charset val="136"/>
      </rPr>
      <t>繳費類型</t>
    </r>
  </si>
  <si>
    <r>
      <rPr>
        <sz val="9"/>
        <rFont val="標楷體"/>
        <family val="4"/>
        <charset val="136"/>
      </rPr>
      <t>保障期間</t>
    </r>
  </si>
  <si>
    <r>
      <rPr>
        <sz val="9"/>
        <rFont val="標楷體"/>
        <family val="4"/>
        <charset val="136"/>
      </rPr>
      <t>保障類型</t>
    </r>
  </si>
  <si>
    <r>
      <rPr>
        <sz val="9"/>
        <rFont val="標楷體"/>
        <family val="4"/>
        <charset val="136"/>
      </rPr>
      <t>特別期間</t>
    </r>
  </si>
  <si>
    <r>
      <rPr>
        <sz val="9"/>
        <rFont val="標楷體"/>
        <family val="4"/>
        <charset val="136"/>
      </rPr>
      <t>特別類型</t>
    </r>
  </si>
  <si>
    <r>
      <rPr>
        <b/>
        <sz val="9"/>
        <color indexed="8"/>
        <rFont val="標楷體"/>
        <family val="4"/>
        <charset val="136"/>
      </rPr>
      <t>男性</t>
    </r>
  </si>
  <si>
    <r>
      <rPr>
        <sz val="9"/>
        <rFont val="標楷體"/>
        <family val="4"/>
        <charset val="136"/>
      </rPr>
      <t>報局年齡下限</t>
    </r>
  </si>
  <si>
    <r>
      <rPr>
        <sz val="9"/>
        <rFont val="標楷體"/>
        <family val="4"/>
        <charset val="136"/>
      </rPr>
      <t>報局年齡上限</t>
    </r>
  </si>
  <si>
    <r>
      <rPr>
        <sz val="9"/>
        <rFont val="標楷體"/>
        <family val="4"/>
        <charset val="136"/>
      </rPr>
      <t>輸出年齡下限</t>
    </r>
  </si>
  <si>
    <r>
      <rPr>
        <sz val="9"/>
        <rFont val="標楷體"/>
        <family val="4"/>
        <charset val="136"/>
      </rPr>
      <t>輸出年齡上限</t>
    </r>
  </si>
  <si>
    <r>
      <rPr>
        <b/>
        <sz val="9"/>
        <color indexed="8"/>
        <rFont val="標楷體"/>
        <family val="4"/>
        <charset val="136"/>
      </rPr>
      <t>女性</t>
    </r>
  </si>
  <si>
    <r>
      <rPr>
        <sz val="9"/>
        <rFont val="標楷體"/>
        <family val="4"/>
        <charset val="136"/>
      </rPr>
      <t>銷售年齡下限</t>
    </r>
  </si>
  <si>
    <t>計算上</t>
    <phoneticPr fontId="1" type="noConversion"/>
  </si>
  <si>
    <t>同給付</t>
    <phoneticPr fontId="1" type="noConversion"/>
  </si>
  <si>
    <t>只考慮1</t>
    <phoneticPr fontId="1" type="noConversion"/>
  </si>
  <si>
    <t>只考慮1,2</t>
    <phoneticPr fontId="1" type="noConversion"/>
  </si>
  <si>
    <t>只考慮1,3</t>
    <phoneticPr fontId="1" type="noConversion"/>
  </si>
  <si>
    <r>
      <t xml:space="preserve">   </t>
    </r>
    <r>
      <rPr>
        <sz val="10"/>
        <color theme="1"/>
        <rFont val="標楷體"/>
        <family val="4"/>
        <charset val="136"/>
      </rPr>
      <t>進位法則</t>
    </r>
  </si>
  <si>
    <r>
      <rPr>
        <sz val="10"/>
        <color theme="1"/>
        <rFont val="標楷體"/>
        <family val="4"/>
        <charset val="136"/>
      </rPr>
      <t>按下列最大值給付，計價上</t>
    </r>
  </si>
  <si>
    <r>
      <rPr>
        <sz val="12"/>
        <color theme="1"/>
        <rFont val="標楷體"/>
        <family val="4"/>
        <charset val="136"/>
      </rPr>
      <t>年齡</t>
    </r>
    <r>
      <rPr>
        <sz val="12"/>
        <color theme="1"/>
        <rFont val="Trebuchet MS"/>
        <family val="2"/>
      </rPr>
      <t>\</t>
    </r>
    <r>
      <rPr>
        <sz val="12"/>
        <color theme="1"/>
        <rFont val="標楷體"/>
        <family val="4"/>
        <charset val="136"/>
      </rPr>
      <t>性別</t>
    </r>
  </si>
  <si>
    <t>銷售狀態</t>
    <phoneticPr fontId="1" type="noConversion"/>
  </si>
  <si>
    <t>銷售中</t>
    <phoneticPr fontId="1" type="noConversion"/>
  </si>
  <si>
    <t>已停售</t>
    <phoneticPr fontId="1" type="noConversion"/>
  </si>
  <si>
    <r>
      <rPr>
        <sz val="10"/>
        <color theme="1"/>
        <rFont val="標楷體"/>
        <family val="4"/>
        <charset val="136"/>
      </rPr>
      <t>銷售狀態</t>
    </r>
  </si>
  <si>
    <r>
      <rPr>
        <sz val="10"/>
        <color theme="1"/>
        <rFont val="標楷體"/>
        <family val="4"/>
        <charset val="136"/>
      </rPr>
      <t>至少給付比例</t>
    </r>
  </si>
  <si>
    <r>
      <rPr>
        <sz val="10"/>
        <color theme="1"/>
        <rFont val="標楷體"/>
        <family val="4"/>
        <charset val="136"/>
      </rPr>
      <t>最多折扣年數</t>
    </r>
  </si>
  <si>
    <r>
      <rPr>
        <sz val="10"/>
        <color theme="1"/>
        <rFont val="標楷體"/>
        <family val="4"/>
        <charset val="136"/>
      </rPr>
      <t>折扣比例</t>
    </r>
  </si>
  <si>
    <t>2006 T.I.A.</t>
    <phoneticPr fontId="3" type="noConversion"/>
  </si>
  <si>
    <t>購買力假設</t>
    <phoneticPr fontId="1" type="noConversion"/>
  </si>
  <si>
    <t>年繳保費</t>
    <phoneticPr fontId="1" type="noConversion"/>
  </si>
  <si>
    <t>保額單位</t>
    <phoneticPr fontId="1" type="noConversion"/>
  </si>
  <si>
    <r>
      <t>2.</t>
    </r>
    <r>
      <rPr>
        <sz val="10"/>
        <color theme="1"/>
        <rFont val="標楷體"/>
        <family val="4"/>
        <charset val="136"/>
      </rPr>
      <t>業主權益率</t>
    </r>
  </si>
  <si>
    <r>
      <t>3.</t>
    </r>
    <r>
      <rPr>
        <sz val="10"/>
        <color theme="1"/>
        <rFont val="標楷體"/>
        <family val="4"/>
        <charset val="136"/>
      </rPr>
      <t>折現率</t>
    </r>
  </si>
  <si>
    <t>解約率</t>
    <phoneticPr fontId="1" type="noConversion"/>
  </si>
  <si>
    <t>解約率 [精算部]</t>
    <phoneticPr fontId="1" type="noConversion"/>
  </si>
  <si>
    <t>脫退率</t>
    <phoneticPr fontId="1" type="noConversion"/>
  </si>
  <si>
    <t xml:space="preserve"> % of GP</t>
  </si>
  <si>
    <r>
      <rPr>
        <sz val="10"/>
        <color theme="1"/>
        <rFont val="標楷體"/>
        <family val="4"/>
        <charset val="136"/>
      </rPr>
      <t>年度</t>
    </r>
    <r>
      <rPr>
        <sz val="10"/>
        <color theme="1"/>
        <rFont val="Trebuchet MS"/>
        <family val="2"/>
      </rPr>
      <t>/</t>
    </r>
    <r>
      <rPr>
        <sz val="10"/>
        <color theme="1"/>
        <rFont val="標楷體"/>
        <family val="4"/>
        <charset val="136"/>
      </rPr>
      <t>年期</t>
    </r>
  </si>
  <si>
    <t>[1]</t>
  </si>
  <si>
    <r>
      <rPr>
        <b/>
        <sz val="10"/>
        <color theme="1"/>
        <rFont val="標楷體"/>
        <family val="4"/>
        <charset val="136"/>
      </rPr>
      <t>數理部：業務通路</t>
    </r>
  </si>
  <si>
    <t>[1-1]</t>
  </si>
  <si>
    <r>
      <rPr>
        <sz val="10"/>
        <color theme="1"/>
        <rFont val="標楷體"/>
        <family val="4"/>
        <charset val="136"/>
      </rPr>
      <t>～</t>
    </r>
  </si>
  <si>
    <r>
      <rPr>
        <sz val="10"/>
        <color theme="1"/>
        <rFont val="標楷體"/>
        <family val="4"/>
        <charset val="136"/>
      </rPr>
      <t>營業費用</t>
    </r>
  </si>
  <si>
    <t>Override</t>
  </si>
  <si>
    <t>[2]</t>
  </si>
  <si>
    <r>
      <rPr>
        <b/>
        <sz val="10"/>
        <color theme="1"/>
        <rFont val="標楷體"/>
        <family val="4"/>
        <charset val="136"/>
      </rPr>
      <t>數理部：保代通路</t>
    </r>
  </si>
  <si>
    <r>
      <t xml:space="preserve">B. </t>
    </r>
    <r>
      <rPr>
        <b/>
        <sz val="10"/>
        <color theme="1"/>
        <rFont val="標楷體"/>
        <family val="4"/>
        <charset val="136"/>
      </rPr>
      <t>費用假設</t>
    </r>
  </si>
  <si>
    <r>
      <t>C.</t>
    </r>
    <r>
      <rPr>
        <b/>
        <sz val="10"/>
        <color theme="1"/>
        <rFont val="標楷體"/>
        <family val="4"/>
        <charset val="136"/>
      </rPr>
      <t>佣金率</t>
    </r>
  </si>
  <si>
    <r>
      <rPr>
        <sz val="10"/>
        <color theme="1"/>
        <rFont val="標楷體"/>
        <family val="4"/>
        <charset val="136"/>
      </rPr>
      <t>代表年齡</t>
    </r>
  </si>
  <si>
    <r>
      <t xml:space="preserve">E. </t>
    </r>
    <r>
      <rPr>
        <sz val="10"/>
        <color theme="1"/>
        <rFont val="標楷體"/>
        <family val="4"/>
        <charset val="136"/>
      </rPr>
      <t>購買力假設</t>
    </r>
  </si>
  <si>
    <r>
      <t xml:space="preserve">3. </t>
    </r>
    <r>
      <rPr>
        <b/>
        <sz val="10"/>
        <color theme="1"/>
        <rFont val="標楷體"/>
        <family val="4"/>
        <charset val="136"/>
      </rPr>
      <t>新契約責任準備金利率表</t>
    </r>
    <r>
      <rPr>
        <b/>
        <sz val="10"/>
        <color theme="1"/>
        <rFont val="Trebuchet MS"/>
        <family val="2"/>
      </rPr>
      <t xml:space="preserve"> ( 98</t>
    </r>
    <r>
      <rPr>
        <b/>
        <sz val="10"/>
        <color theme="1"/>
        <rFont val="標楷體"/>
        <family val="4"/>
        <charset val="136"/>
      </rPr>
      <t>年</t>
    </r>
    <r>
      <rPr>
        <b/>
        <sz val="10"/>
        <color theme="1"/>
        <rFont val="Trebuchet MS"/>
        <family val="2"/>
      </rPr>
      <t>6</t>
    </r>
    <r>
      <rPr>
        <b/>
        <sz val="10"/>
        <color theme="1"/>
        <rFont val="標楷體"/>
        <family val="4"/>
        <charset val="136"/>
      </rPr>
      <t>月</t>
    </r>
    <r>
      <rPr>
        <b/>
        <sz val="10"/>
        <color theme="1"/>
        <rFont val="Trebuchet MS"/>
        <family val="2"/>
      </rPr>
      <t>15</t>
    </r>
    <r>
      <rPr>
        <b/>
        <sz val="10"/>
        <color theme="1"/>
        <rFont val="標楷體"/>
        <family val="4"/>
        <charset val="136"/>
      </rPr>
      <t>日金管保財字第</t>
    </r>
    <r>
      <rPr>
        <b/>
        <sz val="10"/>
        <color theme="1"/>
        <rFont val="Trebuchet MS"/>
        <family val="2"/>
      </rPr>
      <t>09802504231</t>
    </r>
    <r>
      <rPr>
        <b/>
        <sz val="10"/>
        <color theme="1"/>
        <rFont val="標楷體"/>
        <family val="4"/>
        <charset val="136"/>
      </rPr>
      <t>號</t>
    </r>
    <r>
      <rPr>
        <b/>
        <sz val="10"/>
        <color theme="1"/>
        <rFont val="Trebuchet MS"/>
        <family val="2"/>
      </rPr>
      <t>)  #</t>
    </r>
    <r>
      <rPr>
        <b/>
        <sz val="10"/>
        <color theme="1"/>
        <rFont val="標楷體"/>
        <family val="4"/>
        <charset val="136"/>
      </rPr>
      <t>台幣</t>
    </r>
  </si>
  <si>
    <r>
      <rPr>
        <b/>
        <sz val="12"/>
        <color theme="1"/>
        <rFont val="標楷體"/>
        <family val="4"/>
        <charset val="136"/>
      </rPr>
      <t>設定規格</t>
    </r>
  </si>
  <si>
    <r>
      <rPr>
        <sz val="10"/>
        <color theme="1"/>
        <rFont val="標楷體"/>
        <family val="4"/>
        <charset val="136"/>
      </rPr>
      <t>項目</t>
    </r>
  </si>
  <si>
    <r>
      <rPr>
        <sz val="10"/>
        <color theme="1"/>
        <rFont val="標楷體"/>
        <family val="4"/>
        <charset val="136"/>
      </rPr>
      <t>解約率年數</t>
    </r>
  </si>
  <si>
    <r>
      <rPr>
        <sz val="10"/>
        <color theme="1"/>
        <rFont val="標楷體"/>
        <family val="4"/>
        <charset val="136"/>
      </rPr>
      <t>費用假設</t>
    </r>
  </si>
  <si>
    <r>
      <rPr>
        <sz val="10"/>
        <color theme="1"/>
        <rFont val="標楷體"/>
        <family val="4"/>
        <charset val="136"/>
      </rPr>
      <t>佣金年度</t>
    </r>
  </si>
  <si>
    <r>
      <rPr>
        <sz val="10"/>
        <color theme="1"/>
        <rFont val="標楷體"/>
        <family val="4"/>
        <charset val="136"/>
      </rPr>
      <t>佣金年齡</t>
    </r>
  </si>
  <si>
    <r>
      <rPr>
        <sz val="10"/>
        <color theme="1"/>
        <rFont val="標楷體"/>
        <family val="4"/>
        <charset val="136"/>
      </rPr>
      <t>購買力假設</t>
    </r>
  </si>
  <si>
    <r>
      <rPr>
        <sz val="10"/>
        <color theme="1"/>
        <rFont val="標楷體"/>
        <family val="4"/>
        <charset val="136"/>
      </rPr>
      <t>個數</t>
    </r>
  </si>
  <si>
    <r>
      <rPr>
        <sz val="10"/>
        <color theme="1"/>
        <rFont val="標楷體"/>
        <family val="4"/>
        <charset val="136"/>
      </rPr>
      <t>年度起點</t>
    </r>
  </si>
  <si>
    <t>[1-2]</t>
  </si>
  <si>
    <r>
      <rPr>
        <sz val="10"/>
        <color theme="1"/>
        <rFont val="標楷體"/>
        <family val="4"/>
        <charset val="136"/>
      </rPr>
      <t>每年比率</t>
    </r>
  </si>
  <si>
    <r>
      <rPr>
        <sz val="10"/>
        <color theme="1"/>
        <rFont val="標楷體"/>
        <family val="4"/>
        <charset val="136"/>
      </rPr>
      <t>至少百分比</t>
    </r>
  </si>
  <si>
    <r>
      <rPr>
        <sz val="10"/>
        <color theme="1"/>
        <rFont val="標楷體"/>
        <family val="4"/>
        <charset val="136"/>
      </rPr>
      <t>遞減係數</t>
    </r>
  </si>
  <si>
    <r>
      <t xml:space="preserve">D. </t>
    </r>
    <r>
      <rPr>
        <b/>
        <sz val="10"/>
        <color theme="1"/>
        <rFont val="標楷體"/>
        <family val="4"/>
        <charset val="136"/>
      </rPr>
      <t>保費佔率</t>
    </r>
  </si>
  <si>
    <r>
      <rPr>
        <sz val="10"/>
        <color theme="1"/>
        <rFont val="標楷體"/>
        <family val="4"/>
        <charset val="136"/>
      </rPr>
      <t>合計</t>
    </r>
  </si>
  <si>
    <r>
      <rPr>
        <sz val="10"/>
        <color theme="1"/>
        <rFont val="標楷體"/>
        <family val="4"/>
        <charset val="136"/>
      </rPr>
      <t>年齡</t>
    </r>
    <r>
      <rPr>
        <sz val="10"/>
        <color theme="1"/>
        <rFont val="Trebuchet MS"/>
        <family val="2"/>
      </rPr>
      <t>\</t>
    </r>
    <r>
      <rPr>
        <sz val="10"/>
        <color theme="1"/>
        <rFont val="標楷體"/>
        <family val="4"/>
        <charset val="136"/>
      </rPr>
      <t>性別</t>
    </r>
  </si>
  <si>
    <t>[3]</t>
  </si>
  <si>
    <t>[4]</t>
  </si>
  <si>
    <r>
      <rPr>
        <b/>
        <sz val="10"/>
        <color theme="1"/>
        <rFont val="標楷體"/>
        <family val="4"/>
        <charset val="136"/>
      </rPr>
      <t>精算部：業務通路</t>
    </r>
  </si>
  <si>
    <r>
      <rPr>
        <b/>
        <sz val="10"/>
        <color theme="1"/>
        <rFont val="標楷體"/>
        <family val="4"/>
        <charset val="136"/>
      </rPr>
      <t>精算部：保代通路</t>
    </r>
  </si>
  <si>
    <r>
      <rPr>
        <sz val="10"/>
        <color theme="1"/>
        <rFont val="標楷體"/>
        <family val="4"/>
        <charset val="136"/>
      </rPr>
      <t>登錄</t>
    </r>
  </si>
  <si>
    <r>
      <t>6</t>
    </r>
    <r>
      <rPr>
        <sz val="12"/>
        <color theme="1"/>
        <rFont val="標楷體"/>
        <family val="4"/>
        <charset val="136"/>
      </rPr>
      <t>年期</t>
    </r>
  </si>
  <si>
    <r>
      <rPr>
        <sz val="9"/>
        <color theme="1" tint="0.499984740745262"/>
        <rFont val="標楷體"/>
        <family val="4"/>
        <charset val="136"/>
      </rPr>
      <t>美元保單資料庫</t>
    </r>
    <r>
      <rPr>
        <sz val="9"/>
        <color theme="1" tint="0.499984740745262"/>
        <rFont val="Trebuchet MS"/>
        <family val="2"/>
      </rPr>
      <t>.xlsx</t>
    </r>
    <phoneticPr fontId="1" type="noConversion"/>
  </si>
  <si>
    <t>[2-1]</t>
  </si>
  <si>
    <t>[2-2]</t>
  </si>
  <si>
    <r>
      <rPr>
        <sz val="14"/>
        <color theme="1"/>
        <rFont val="標楷體"/>
        <family val="4"/>
        <charset val="136"/>
      </rPr>
      <t>代號</t>
    </r>
    <phoneticPr fontId="1" type="noConversion"/>
  </si>
  <si>
    <r>
      <rPr>
        <sz val="9"/>
        <color theme="1" tint="0.499984740745262"/>
        <rFont val="標楷體"/>
        <family val="4"/>
        <charset val="136"/>
      </rPr>
      <t>檔案名稱：</t>
    </r>
    <phoneticPr fontId="1" type="noConversion"/>
  </si>
  <si>
    <r>
      <rPr>
        <sz val="10"/>
        <rFont val="標楷體"/>
        <family val="4"/>
        <charset val="136"/>
      </rPr>
      <t>起息年度</t>
    </r>
  </si>
  <si>
    <r>
      <rPr>
        <sz val="14"/>
        <color theme="1"/>
        <rFont val="標楷體"/>
        <family val="4"/>
        <charset val="136"/>
      </rPr>
      <t>保險商品定價程式</t>
    </r>
    <phoneticPr fontId="1" type="noConversion"/>
  </si>
  <si>
    <r>
      <rPr>
        <sz val="14"/>
        <color theme="1"/>
        <rFont val="標楷體"/>
        <family val="4"/>
        <charset val="136"/>
      </rPr>
      <t>程式版本</t>
    </r>
    <phoneticPr fontId="1" type="noConversion"/>
  </si>
  <si>
    <r>
      <rPr>
        <sz val="20"/>
        <color theme="1"/>
        <rFont val="標楷體"/>
        <family val="4"/>
        <charset val="136"/>
      </rPr>
      <t>南山人壽增美樂外幣增額終身保險</t>
    </r>
  </si>
  <si>
    <r>
      <rPr>
        <sz val="12"/>
        <color theme="1"/>
        <rFont val="標楷體"/>
        <family val="4"/>
        <charset val="136"/>
      </rPr>
      <t>年度</t>
    </r>
    <r>
      <rPr>
        <sz val="12"/>
        <color theme="1"/>
        <rFont val="Trebuchet MS"/>
        <family val="2"/>
      </rPr>
      <t>\</t>
    </r>
    <r>
      <rPr>
        <sz val="12"/>
        <color theme="1"/>
        <rFont val="標楷體"/>
        <family val="4"/>
        <charset val="136"/>
      </rPr>
      <t>項目</t>
    </r>
  </si>
  <si>
    <r>
      <rPr>
        <sz val="12"/>
        <color theme="1"/>
        <rFont val="標楷體"/>
        <family val="4"/>
        <charset val="136"/>
      </rPr>
      <t>保險金額</t>
    </r>
  </si>
  <si>
    <r>
      <rPr>
        <sz val="12"/>
        <color theme="1"/>
        <rFont val="標楷體"/>
        <family val="4"/>
        <charset val="136"/>
      </rPr>
      <t>年化保費</t>
    </r>
  </si>
  <si>
    <r>
      <rPr>
        <sz val="16"/>
        <color theme="1"/>
        <rFont val="標楷體"/>
        <family val="4"/>
        <charset val="136"/>
      </rPr>
      <t>生存給付係數</t>
    </r>
    <r>
      <rPr>
        <sz val="16"/>
        <color theme="1"/>
        <rFont val="Trebuchet MS"/>
        <family val="2"/>
      </rPr>
      <t xml:space="preserve"> (</t>
    </r>
    <r>
      <rPr>
        <sz val="16"/>
        <color theme="1"/>
        <rFont val="標楷體"/>
        <family val="4"/>
        <charset val="136"/>
      </rPr>
      <t>保單年度</t>
    </r>
    <r>
      <rPr>
        <sz val="16"/>
        <color theme="1"/>
        <rFont val="Trebuchet MS"/>
        <family val="2"/>
      </rPr>
      <t>)</t>
    </r>
  </si>
  <si>
    <t>2019.12.5</t>
    <phoneticPr fontId="1" type="noConversion"/>
  </si>
  <si>
    <t>C:\Users\user\Desktop\Sample</t>
    <phoneticPr fontId="1" type="noConversion"/>
  </si>
  <si>
    <t>FLWD</t>
  </si>
  <si>
    <t>FLWD</t>
    <phoneticPr fontId="1" type="noConversion"/>
  </si>
  <si>
    <t>0~9</t>
  </si>
  <si>
    <t>10~19</t>
  </si>
  <si>
    <t>20~29</t>
  </si>
  <si>
    <t>30~39</t>
  </si>
  <si>
    <t>40~49</t>
  </si>
  <si>
    <t>50~59</t>
  </si>
  <si>
    <t>60~69</t>
  </si>
  <si>
    <t>70~79</t>
  </si>
  <si>
    <r>
      <rPr>
        <sz val="14"/>
        <color theme="1"/>
        <rFont val="標楷體"/>
        <family val="4"/>
        <charset val="136"/>
      </rPr>
      <t>商品名稱</t>
    </r>
    <phoneticPr fontId="1" type="noConversion"/>
  </si>
  <si>
    <r>
      <rPr>
        <b/>
        <sz val="12"/>
        <color theme="1"/>
        <rFont val="標楷體"/>
        <family val="4"/>
        <charset val="136"/>
      </rPr>
      <t>生命表無四捨五入</t>
    </r>
  </si>
  <si>
    <r>
      <t>20</t>
    </r>
    <r>
      <rPr>
        <sz val="9"/>
        <color theme="1"/>
        <rFont val="標楷體"/>
        <family val="4"/>
        <charset val="136"/>
      </rPr>
      <t>年期</t>
    </r>
  </si>
  <si>
    <r>
      <t>60</t>
    </r>
    <r>
      <rPr>
        <sz val="9"/>
        <color theme="1"/>
        <rFont val="標楷體"/>
        <family val="4"/>
        <charset val="136"/>
      </rPr>
      <t>歲滿期</t>
    </r>
  </si>
  <si>
    <r>
      <rPr>
        <sz val="10"/>
        <rFont val="標楷體"/>
        <family val="4"/>
        <charset val="136"/>
      </rPr>
      <t>保障期間內</t>
    </r>
    <phoneticPr fontId="1" type="noConversion"/>
  </si>
  <si>
    <r>
      <rPr>
        <sz val="10"/>
        <rFont val="標楷體"/>
        <family val="4"/>
        <charset val="136"/>
      </rPr>
      <t>無</t>
    </r>
    <phoneticPr fontId="1" type="noConversion"/>
  </si>
  <si>
    <r>
      <rPr>
        <sz val="20"/>
        <color theme="1"/>
        <rFont val="標楷體"/>
        <family val="4"/>
        <charset val="136"/>
      </rPr>
      <t>富邦人壽遨翔人生外幣終身保險甲型</t>
    </r>
  </si>
  <si>
    <r>
      <rPr>
        <sz val="16"/>
        <color theme="1"/>
        <rFont val="標楷體"/>
        <family val="4"/>
        <charset val="136"/>
      </rPr>
      <t>總保費</t>
    </r>
    <r>
      <rPr>
        <sz val="16"/>
        <color theme="1"/>
        <rFont val="Trebuchet MS"/>
        <family val="2"/>
      </rPr>
      <t xml:space="preserve"> (</t>
    </r>
    <r>
      <rPr>
        <sz val="16"/>
        <color theme="1"/>
        <rFont val="標楷體"/>
        <family val="4"/>
        <charset val="136"/>
      </rPr>
      <t>每萬保額</t>
    </r>
    <r>
      <rPr>
        <sz val="16"/>
        <color theme="1"/>
        <rFont val="Trebuchet MS"/>
        <family val="2"/>
      </rPr>
      <t>)</t>
    </r>
  </si>
  <si>
    <r>
      <t>20</t>
    </r>
    <r>
      <rPr>
        <sz val="12"/>
        <color theme="1"/>
        <rFont val="標楷體"/>
        <family val="4"/>
        <charset val="136"/>
      </rPr>
      <t>年期</t>
    </r>
  </si>
  <si>
    <r>
      <t>60</t>
    </r>
    <r>
      <rPr>
        <sz val="12"/>
        <color theme="1"/>
        <rFont val="標楷體"/>
        <family val="4"/>
        <charset val="136"/>
      </rPr>
      <t>歲滿期</t>
    </r>
  </si>
  <si>
    <r>
      <rPr>
        <b/>
        <sz val="14"/>
        <color theme="1"/>
        <rFont val="標楷體"/>
        <family val="4"/>
        <charset val="136"/>
      </rPr>
      <t>富邦人壽遨翔人生外幣終身保險甲型</t>
    </r>
    <phoneticPr fontId="1" type="noConversion"/>
  </si>
  <si>
    <r>
      <rPr>
        <sz val="10"/>
        <rFont val="標楷體"/>
        <family val="4"/>
        <charset val="136"/>
      </rPr>
      <t>起息年度</t>
    </r>
    <phoneticPr fontId="1" type="noConversion"/>
  </si>
  <si>
    <r>
      <rPr>
        <sz val="10"/>
        <color theme="1"/>
        <rFont val="標楷體"/>
        <family val="4"/>
        <charset val="136"/>
      </rPr>
      <t>特殊期間內</t>
    </r>
    <phoneticPr fontId="1" type="noConversion"/>
  </si>
  <si>
    <r>
      <rPr>
        <sz val="10"/>
        <color theme="1"/>
        <rFont val="標楷體"/>
        <family val="4"/>
        <charset val="136"/>
      </rPr>
      <t>特殊期間後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</si>
</sst>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76" formatCode="0.000000"/>
    <numFmt numFmtId="177" formatCode="[$-404]e/mm/dd"/>
    <numFmt numFmtId="178" formatCode="0.00_ "/>
    <numFmt numFmtId="179" formatCode="0\ &quot;次&quot;;[Red]&quot;至收斂&quot;\ "/>
    <numFmt numFmtId="180" formatCode="&quot;第&quot;\ 0\ &quot;筆&quot;\ "/>
    <numFmt numFmtId="181" formatCode="0.000_);[Red]\(0.000\)"/>
    <numFmt numFmtId="182" formatCode="General\ &quot;萬元&quot;"/>
    <numFmt numFmtId="183" formatCode="#,##0_ "/>
    <numFmt numFmtId="184" formatCode="&quot;未達&quot;\ General\ &quot;歲&quot;"/>
    <numFmt numFmtId="185" formatCode="&quot;女:&quot;\ 0.00%"/>
    <numFmt numFmtId="186" formatCode="&quot;男:&quot;\ 0.00%"/>
    <numFmt numFmtId="187" formatCode="0_ "/>
    <numFmt numFmtId="188" formatCode="General\ &quot;歲以上為&quot;"/>
    <numFmt numFmtId="189" formatCode="General\ &quot;歲以下為&quot;"/>
    <numFmt numFmtId="190" formatCode="0.000_ "/>
    <numFmt numFmtId="191" formatCode="&quot;MAX(&quot;\ General\ &quot;)&quot;"/>
    <numFmt numFmtId="192" formatCode="0.00%_ "/>
    <numFmt numFmtId="193" formatCode="0.000%_ "/>
    <numFmt numFmtId="194" formatCode="#,##0.00_ "/>
    <numFmt numFmtId="195" formatCode="0\ &quot;歲&quot;"/>
    <numFmt numFmtId="196" formatCode="0.00%_-;[Red]\-\ 0.00%_-;_-\ &quot;-&quot;_-;_-@_-"/>
    <numFmt numFmtId="197" formatCode="0.0000%_ "/>
    <numFmt numFmtId="198" formatCode="#,##0_-;[Red]\-\ #,##0_-;_-\ &quot;-&quot;_-;_-@_-"/>
    <numFmt numFmtId="199" formatCode="0.0000_-;[Red]\-\ 0.0000_-;_-\ &quot;-&quot;_-;_-@_-"/>
  </numFmts>
  <fonts count="4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name val="Trebuchet MS"/>
      <family val="2"/>
    </font>
    <font>
      <sz val="9"/>
      <name val="新細明體"/>
      <family val="1"/>
      <charset val="136"/>
    </font>
    <font>
      <sz val="12"/>
      <name val="Trebuchet MS"/>
      <family val="2"/>
    </font>
    <font>
      <sz val="12"/>
      <color theme="1"/>
      <name val="Trebuchet MS"/>
      <family val="2"/>
    </font>
    <font>
      <sz val="10"/>
      <name val="Trebuchet MS"/>
      <family val="2"/>
    </font>
    <font>
      <vertAlign val="subscript"/>
      <sz val="10"/>
      <name val="Trebuchet MS"/>
      <family val="2"/>
    </font>
    <font>
      <sz val="10"/>
      <color theme="1"/>
      <name val="Trebuchet MS"/>
      <family val="2"/>
    </font>
    <font>
      <sz val="10"/>
      <color theme="1"/>
      <name val="標楷體"/>
      <family val="4"/>
      <charset val="136"/>
    </font>
    <font>
      <sz val="14"/>
      <color theme="1"/>
      <name val="Trebuchet MS"/>
      <family val="2"/>
    </font>
    <font>
      <sz val="14"/>
      <color theme="1"/>
      <name val="標楷體"/>
      <family val="4"/>
      <charset val="136"/>
    </font>
    <font>
      <sz val="8"/>
      <color theme="1"/>
      <name val="Trebuchet MS"/>
      <family val="2"/>
    </font>
    <font>
      <b/>
      <sz val="14"/>
      <color theme="1"/>
      <name val="Trebuchet MS"/>
      <family val="2"/>
    </font>
    <font>
      <b/>
      <sz val="14"/>
      <color theme="1"/>
      <name val="標楷體"/>
      <family val="4"/>
      <charset val="136"/>
    </font>
    <font>
      <b/>
      <sz val="10"/>
      <color theme="1"/>
      <name val="Trebuchet MS"/>
      <family val="2"/>
    </font>
    <font>
      <b/>
      <sz val="10"/>
      <color theme="1"/>
      <name val="標楷體"/>
      <family val="4"/>
      <charset val="136"/>
    </font>
    <font>
      <b/>
      <sz val="12"/>
      <color theme="1"/>
      <name val="Trebuchet MS"/>
      <family val="2"/>
    </font>
    <font>
      <b/>
      <sz val="12"/>
      <color theme="1"/>
      <name val="標楷體"/>
      <family val="4"/>
      <charset val="136"/>
    </font>
    <font>
      <sz val="10"/>
      <color indexed="8"/>
      <name val="Trebuchet MS"/>
      <family val="2"/>
    </font>
    <font>
      <sz val="10"/>
      <color indexed="8"/>
      <name val="標楷體"/>
      <family val="4"/>
      <charset val="136"/>
    </font>
    <font>
      <sz val="1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4" tint="-0.249977111117893"/>
      <name val="Trebuchet MS"/>
      <family val="2"/>
    </font>
    <font>
      <b/>
      <sz val="10"/>
      <name val="Trebuchet MS"/>
      <family val="2"/>
    </font>
    <font>
      <b/>
      <sz val="10"/>
      <name val="標楷體"/>
      <family val="4"/>
      <charset val="136"/>
    </font>
    <font>
      <sz val="16"/>
      <color theme="1"/>
      <name val="標楷體"/>
      <family val="4"/>
      <charset val="136"/>
    </font>
    <font>
      <sz val="10"/>
      <color theme="3"/>
      <name val="Trebuchet MS"/>
      <family val="2"/>
    </font>
    <font>
      <sz val="10"/>
      <color theme="3"/>
      <name val="標楷體"/>
      <family val="4"/>
      <charset val="136"/>
    </font>
    <font>
      <sz val="20"/>
      <color theme="1"/>
      <name val="標楷體"/>
      <family val="4"/>
      <charset val="136"/>
    </font>
    <font>
      <sz val="9"/>
      <color theme="1" tint="0.499984740745262"/>
      <name val="Trebuchet MS"/>
      <family val="2"/>
    </font>
    <font>
      <sz val="9"/>
      <color theme="1" tint="0.499984740745262"/>
      <name val="標楷體"/>
      <family val="4"/>
      <charset val="136"/>
    </font>
    <font>
      <sz val="9"/>
      <color theme="1"/>
      <name val="Trebuchet MS"/>
      <family val="2"/>
    </font>
    <font>
      <sz val="9"/>
      <color theme="1"/>
      <name val="標楷體"/>
      <family val="4"/>
      <charset val="136"/>
    </font>
    <font>
      <sz val="9"/>
      <name val="Trebuchet MS"/>
      <family val="2"/>
    </font>
    <font>
      <sz val="9"/>
      <name val="標楷體"/>
      <family val="4"/>
      <charset val="136"/>
    </font>
    <font>
      <b/>
      <sz val="9"/>
      <color indexed="8"/>
      <name val="Trebuchet MS"/>
      <family val="2"/>
    </font>
    <font>
      <b/>
      <sz val="9"/>
      <color indexed="8"/>
      <name val="標楷體"/>
      <family val="4"/>
      <charset val="136"/>
    </font>
    <font>
      <sz val="20"/>
      <color theme="1"/>
      <name val="Trebuchet MS"/>
      <family val="2"/>
    </font>
    <font>
      <sz val="16"/>
      <color theme="1"/>
      <name val="Trebuchet MS"/>
      <family val="2"/>
    </font>
    <font>
      <sz val="12"/>
      <color theme="1"/>
      <name val="新細明體"/>
      <family val="2"/>
      <charset val="136"/>
      <scheme val="minor"/>
    </font>
    <font>
      <sz val="10"/>
      <color rgb="FF000000"/>
      <name val="Trebuchet MS"/>
      <family val="2"/>
    </font>
    <font>
      <sz val="9"/>
      <color rgb="FF000000"/>
      <name val="新細明體"/>
      <family val="1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65"/>
        <bgColor auto="1"/>
      </patternFill>
    </fill>
    <fill>
      <patternFill patternType="gray125">
        <fgColor rgb="FFFFFF00"/>
      </patternFill>
    </fill>
    <fill>
      <patternFill patternType="gray125">
        <fgColor rgb="FF00FF99"/>
      </patternFill>
    </fill>
    <fill>
      <patternFill patternType="gray125">
        <fgColor rgb="FF0066FF"/>
      </patternFill>
    </fill>
    <fill>
      <patternFill patternType="lightGray">
        <fgColor theme="7" tint="0.59996337778862885"/>
        <bgColor indexed="65"/>
      </patternFill>
    </fill>
    <fill>
      <patternFill patternType="lightGray">
        <fgColor rgb="FFFFFF00"/>
      </patternFill>
    </fill>
    <fill>
      <patternFill patternType="gray125">
        <fgColor indexed="17"/>
      </patternFill>
    </fill>
    <fill>
      <patternFill patternType="gray125">
        <fgColor theme="9" tint="0.39994506668294322"/>
        <bgColor indexed="65"/>
      </patternFill>
    </fill>
    <fill>
      <patternFill patternType="gray125">
        <fgColor rgb="FFFF99CC"/>
      </patternFill>
    </fill>
    <fill>
      <patternFill patternType="solid">
        <fgColor indexed="65"/>
        <bgColor indexed="17"/>
      </patternFill>
    </fill>
  </fills>
  <borders count="15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double">
        <color auto="1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slantDashDot">
        <color indexed="64"/>
      </bottom>
      <diagonal/>
    </border>
    <border>
      <left/>
      <right style="hair">
        <color indexed="64"/>
      </right>
      <top style="hair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hair">
        <color indexed="64"/>
      </right>
      <top style="slantDashDot">
        <color indexed="64"/>
      </top>
      <bottom style="slantDashDot">
        <color indexed="64"/>
      </bottom>
      <diagonal/>
    </border>
    <border>
      <left style="hair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indexed="64"/>
      </top>
      <bottom style="double">
        <color indexed="64"/>
      </bottom>
      <diagonal/>
    </border>
    <border>
      <left/>
      <right style="medium">
        <color auto="1"/>
      </right>
      <top/>
      <bottom style="hair">
        <color indexed="64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double">
        <color indexed="64"/>
      </bottom>
      <diagonal/>
    </border>
    <border>
      <left style="hair">
        <color auto="1"/>
      </left>
      <right style="thin">
        <color auto="1"/>
      </right>
      <top/>
      <bottom style="medium">
        <color auto="1"/>
      </bottom>
      <diagonal/>
    </border>
  </borders>
  <cellStyleXfs count="3">
    <xf numFmtId="0" fontId="0" fillId="0" borderId="0">
      <alignment vertical="center"/>
    </xf>
    <xf numFmtId="43" fontId="40" fillId="0" borderId="0" applyFont="0" applyFill="0" applyBorder="0" applyAlignment="0" applyProtection="0">
      <alignment vertical="center"/>
    </xf>
    <xf numFmtId="9" fontId="40" fillId="0" borderId="0" applyFont="0" applyFill="0" applyBorder="0" applyAlignment="0" applyProtection="0">
      <alignment vertical="center"/>
    </xf>
  </cellStyleXfs>
  <cellXfs count="388">
    <xf numFmtId="0" fontId="0" fillId="0" borderId="0" xfId="0">
      <alignment vertical="center"/>
    </xf>
    <xf numFmtId="0" fontId="2" fillId="0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5" fillId="0" borderId="0" xfId="0" applyFont="1" applyAlignment="1">
      <alignment horizontal="center" vertical="center"/>
    </xf>
    <xf numFmtId="0" fontId="6" fillId="0" borderId="2" xfId="0" applyFont="1" applyFill="1" applyBorder="1" applyAlignment="1" applyProtection="1">
      <alignment horizontal="center"/>
    </xf>
    <xf numFmtId="176" fontId="6" fillId="0" borderId="3" xfId="0" applyNumberFormat="1" applyFont="1" applyFill="1" applyBorder="1" applyAlignment="1" applyProtection="1">
      <alignment horizontal="center"/>
    </xf>
    <xf numFmtId="176" fontId="6" fillId="0" borderId="4" xfId="0" applyNumberFormat="1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176" fontId="6" fillId="0" borderId="6" xfId="0" applyNumberFormat="1" applyFont="1" applyFill="1" applyBorder="1" applyAlignment="1" applyProtection="1">
      <alignment horizontal="center"/>
    </xf>
    <xf numFmtId="176" fontId="6" fillId="0" borderId="7" xfId="0" applyNumberFormat="1" applyFont="1" applyFill="1" applyBorder="1" applyAlignment="1" applyProtection="1">
      <alignment horizontal="center"/>
    </xf>
    <xf numFmtId="0" fontId="6" fillId="0" borderId="8" xfId="0" applyFont="1" applyFill="1" applyBorder="1" applyAlignment="1" applyProtection="1">
      <alignment horizontal="center"/>
    </xf>
    <xf numFmtId="176" fontId="6" fillId="0" borderId="9" xfId="0" applyNumberFormat="1" applyFont="1" applyFill="1" applyBorder="1" applyAlignment="1" applyProtection="1">
      <alignment horizontal="center"/>
    </xf>
    <xf numFmtId="176" fontId="6" fillId="0" borderId="10" xfId="0" applyNumberFormat="1" applyFont="1" applyFill="1" applyBorder="1" applyAlignment="1" applyProtection="1">
      <alignment horizontal="center"/>
    </xf>
    <xf numFmtId="0" fontId="6" fillId="0" borderId="11" xfId="0" applyFont="1" applyFill="1" applyBorder="1" applyAlignment="1" applyProtection="1">
      <alignment horizontal="center"/>
    </xf>
    <xf numFmtId="176" fontId="6" fillId="0" borderId="12" xfId="0" applyNumberFormat="1" applyFont="1" applyFill="1" applyBorder="1" applyAlignment="1" applyProtection="1">
      <alignment horizontal="center"/>
    </xf>
    <xf numFmtId="176" fontId="6" fillId="0" borderId="13" xfId="0" applyNumberFormat="1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10" xfId="0" applyFont="1" applyFill="1" applyBorder="1" applyAlignment="1" applyProtection="1">
      <alignment horizontal="center"/>
    </xf>
    <xf numFmtId="0" fontId="6" fillId="0" borderId="14" xfId="0" applyFont="1" applyFill="1" applyBorder="1" applyAlignment="1" applyProtection="1">
      <alignment horizontal="center"/>
    </xf>
    <xf numFmtId="176" fontId="6" fillId="0" borderId="15" xfId="0" applyNumberFormat="1" applyFont="1" applyFill="1" applyBorder="1" applyAlignment="1" applyProtection="1">
      <alignment horizontal="center"/>
    </xf>
    <xf numFmtId="176" fontId="6" fillId="0" borderId="16" xfId="0" applyNumberFormat="1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177" fontId="8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177" fontId="8" fillId="0" borderId="27" xfId="0" applyNumberFormat="1" applyFont="1" applyBorder="1" applyAlignment="1">
      <alignment horizontal="center" vertical="center"/>
    </xf>
    <xf numFmtId="177" fontId="8" fillId="0" borderId="28" xfId="0" applyNumberFormat="1" applyFont="1" applyBorder="1" applyAlignment="1">
      <alignment horizontal="center" vertical="center"/>
    </xf>
    <xf numFmtId="177" fontId="8" fillId="0" borderId="29" xfId="0" applyNumberFormat="1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178" fontId="8" fillId="0" borderId="32" xfId="0" applyNumberFormat="1" applyFont="1" applyBorder="1" applyAlignment="1">
      <alignment horizontal="center" vertical="center" wrapText="1"/>
    </xf>
    <xf numFmtId="177" fontId="8" fillId="0" borderId="36" xfId="0" applyNumberFormat="1" applyFont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0" borderId="39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 vertical="center"/>
    </xf>
    <xf numFmtId="0" fontId="8" fillId="0" borderId="66" xfId="0" applyFont="1" applyBorder="1" applyAlignment="1">
      <alignment horizontal="center" vertical="center"/>
    </xf>
    <xf numFmtId="0" fontId="19" fillId="0" borderId="50" xfId="0" applyFont="1" applyFill="1" applyBorder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0" fontId="6" fillId="0" borderId="68" xfId="0" applyFont="1" applyBorder="1" applyAlignment="1">
      <alignment horizontal="center"/>
    </xf>
    <xf numFmtId="9" fontId="6" fillId="0" borderId="69" xfId="0" applyNumberFormat="1" applyFont="1" applyBorder="1" applyAlignment="1">
      <alignment horizontal="center"/>
    </xf>
    <xf numFmtId="0" fontId="8" fillId="0" borderId="7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0" fontId="9" fillId="0" borderId="42" xfId="0" applyFont="1" applyBorder="1" applyAlignment="1">
      <alignment horizontal="center" vertical="center"/>
    </xf>
    <xf numFmtId="0" fontId="6" fillId="0" borderId="96" xfId="0" applyFont="1" applyFill="1" applyBorder="1" applyAlignment="1" applyProtection="1">
      <alignment horizontal="center"/>
    </xf>
    <xf numFmtId="176" fontId="6" fillId="0" borderId="96" xfId="0" applyNumberFormat="1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176" fontId="6" fillId="0" borderId="0" xfId="0" applyNumberFormat="1" applyFont="1" applyFill="1" applyBorder="1" applyAlignment="1" applyProtection="1">
      <alignment horizontal="center"/>
    </xf>
    <xf numFmtId="10" fontId="6" fillId="0" borderId="0" xfId="0" applyNumberFormat="1" applyFont="1" applyBorder="1" applyAlignment="1">
      <alignment horizontal="center"/>
    </xf>
    <xf numFmtId="10" fontId="6" fillId="0" borderId="19" xfId="0" applyNumberFormat="1" applyFont="1" applyBorder="1" applyAlignment="1">
      <alignment horizontal="center"/>
    </xf>
    <xf numFmtId="10" fontId="6" fillId="0" borderId="20" xfId="0" applyNumberFormat="1" applyFont="1" applyBorder="1" applyAlignment="1">
      <alignment horizontal="center"/>
    </xf>
    <xf numFmtId="181" fontId="6" fillId="0" borderId="24" xfId="0" applyNumberFormat="1" applyFont="1" applyBorder="1" applyAlignment="1">
      <alignment horizontal="center"/>
    </xf>
    <xf numFmtId="181" fontId="6" fillId="0" borderId="25" xfId="0" applyNumberFormat="1" applyFont="1" applyBorder="1" applyAlignment="1">
      <alignment horizontal="center"/>
    </xf>
    <xf numFmtId="181" fontId="8" fillId="0" borderId="7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84" fontId="8" fillId="0" borderId="0" xfId="0" applyNumberFormat="1" applyFont="1" applyAlignment="1">
      <alignment horizontal="center" vertical="center"/>
    </xf>
    <xf numFmtId="10" fontId="8" fillId="2" borderId="0" xfId="0" applyNumberFormat="1" applyFont="1" applyFill="1" applyBorder="1" applyAlignment="1">
      <alignment horizontal="left" vertical="center"/>
    </xf>
    <xf numFmtId="0" fontId="8" fillId="0" borderId="18" xfId="0" applyFont="1" applyBorder="1" applyAlignment="1">
      <alignment horizontal="center" vertical="center"/>
    </xf>
    <xf numFmtId="178" fontId="8" fillId="0" borderId="34" xfId="0" applyNumberFormat="1" applyFont="1" applyBorder="1" applyAlignment="1">
      <alignment horizontal="left" vertical="center" wrapText="1"/>
    </xf>
    <xf numFmtId="178" fontId="8" fillId="0" borderId="0" xfId="0" applyNumberFormat="1" applyFont="1" applyAlignment="1">
      <alignment horizontal="left" vertical="center" wrapText="1"/>
    </xf>
    <xf numFmtId="0" fontId="8" fillId="2" borderId="99" xfId="0" applyFont="1" applyFill="1" applyBorder="1" applyAlignment="1">
      <alignment horizontal="center" vertical="center"/>
    </xf>
    <xf numFmtId="10" fontId="8" fillId="2" borderId="56" xfId="0" applyNumberFormat="1" applyFont="1" applyFill="1" applyBorder="1" applyAlignment="1">
      <alignment horizontal="center" vertical="center"/>
    </xf>
    <xf numFmtId="10" fontId="15" fillId="0" borderId="0" xfId="0" applyNumberFormat="1" applyFont="1" applyAlignment="1">
      <alignment vertical="center"/>
    </xf>
    <xf numFmtId="0" fontId="15" fillId="2" borderId="0" xfId="0" applyFont="1" applyFill="1" applyBorder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7" fillId="5" borderId="38" xfId="0" applyFont="1" applyFill="1" applyBorder="1" applyAlignment="1">
      <alignment horizontal="left" vertical="center"/>
    </xf>
    <xf numFmtId="0" fontId="15" fillId="8" borderId="0" xfId="0" applyFont="1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center" vertical="center"/>
    </xf>
    <xf numFmtId="180" fontId="8" fillId="8" borderId="62" xfId="0" applyNumberFormat="1" applyFont="1" applyFill="1" applyBorder="1" applyAlignment="1">
      <alignment horizontal="center" vertical="center"/>
    </xf>
    <xf numFmtId="180" fontId="8" fillId="8" borderId="63" xfId="0" applyNumberFormat="1" applyFont="1" applyFill="1" applyBorder="1" applyAlignment="1">
      <alignment horizontal="center" vertical="center"/>
    </xf>
    <xf numFmtId="180" fontId="8" fillId="8" borderId="64" xfId="0" applyNumberFormat="1" applyFont="1" applyFill="1" applyBorder="1" applyAlignment="1">
      <alignment horizontal="center" vertical="center"/>
    </xf>
    <xf numFmtId="0" fontId="8" fillId="8" borderId="22" xfId="0" applyFont="1" applyFill="1" applyBorder="1" applyAlignment="1">
      <alignment horizontal="center" vertical="center"/>
    </xf>
    <xf numFmtId="0" fontId="8" fillId="8" borderId="43" xfId="0" applyFont="1" applyFill="1" applyBorder="1" applyAlignment="1">
      <alignment horizontal="center" vertical="center"/>
    </xf>
    <xf numFmtId="0" fontId="8" fillId="8" borderId="23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6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180" fontId="8" fillId="8" borderId="58" xfId="0" applyNumberFormat="1" applyFont="1" applyFill="1" applyBorder="1" applyAlignment="1">
      <alignment horizontal="center" vertical="center"/>
    </xf>
    <xf numFmtId="180" fontId="8" fillId="8" borderId="57" xfId="0" applyNumberFormat="1" applyFont="1" applyFill="1" applyBorder="1" applyAlignment="1">
      <alignment horizontal="center" vertical="center"/>
    </xf>
    <xf numFmtId="180" fontId="8" fillId="8" borderId="59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8" fontId="8" fillId="0" borderId="35" xfId="0" applyNumberFormat="1" applyFont="1" applyBorder="1" applyAlignment="1">
      <alignment horizontal="left" vertical="center" wrapText="1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189" fontId="8" fillId="0" borderId="0" xfId="0" applyNumberFormat="1" applyFont="1" applyFill="1" applyAlignment="1">
      <alignment horizontal="center" vertical="center"/>
    </xf>
    <xf numFmtId="182" fontId="8" fillId="0" borderId="0" xfId="0" applyNumberFormat="1" applyFont="1" applyFill="1" applyAlignment="1">
      <alignment horizontal="center" vertical="center"/>
    </xf>
    <xf numFmtId="188" fontId="8" fillId="0" borderId="0" xfId="0" applyNumberFormat="1" applyFont="1" applyFill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4" fillId="0" borderId="55" xfId="0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36" fillId="6" borderId="55" xfId="0" applyFont="1" applyFill="1" applyBorder="1" applyAlignment="1">
      <alignment horizontal="center" vertical="center"/>
    </xf>
    <xf numFmtId="0" fontId="34" fillId="0" borderId="56" xfId="0" applyFont="1" applyFill="1" applyBorder="1" applyAlignment="1">
      <alignment horizontal="center" vertical="center"/>
    </xf>
    <xf numFmtId="0" fontId="36" fillId="7" borderId="55" xfId="0" applyFont="1" applyFill="1" applyBorder="1" applyAlignment="1">
      <alignment horizontal="center" vertical="center"/>
    </xf>
    <xf numFmtId="0" fontId="8" fillId="11" borderId="45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2" fillId="0" borderId="104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 vertical="center"/>
    </xf>
    <xf numFmtId="0" fontId="5" fillId="0" borderId="77" xfId="0" applyFont="1" applyBorder="1" applyAlignment="1">
      <alignment horizontal="center" vertical="center"/>
    </xf>
    <xf numFmtId="0" fontId="5" fillId="0" borderId="78" xfId="0" applyFont="1" applyBorder="1" applyAlignment="1">
      <alignment horizontal="center" vertical="center"/>
    </xf>
    <xf numFmtId="0" fontId="5" fillId="0" borderId="79" xfId="0" applyFont="1" applyBorder="1" applyAlignment="1">
      <alignment horizontal="center" vertical="center"/>
    </xf>
    <xf numFmtId="0" fontId="5" fillId="0" borderId="81" xfId="0" applyFont="1" applyBorder="1" applyAlignment="1">
      <alignment horizontal="center" vertical="center"/>
    </xf>
    <xf numFmtId="0" fontId="5" fillId="0" borderId="83" xfId="0" applyFont="1" applyBorder="1" applyAlignment="1">
      <alignment horizontal="center" vertical="center"/>
    </xf>
    <xf numFmtId="190" fontId="8" fillId="0" borderId="0" xfId="0" applyNumberFormat="1" applyFont="1" applyAlignment="1">
      <alignment horizontal="center" vertical="center"/>
    </xf>
    <xf numFmtId="191" fontId="8" fillId="0" borderId="0" xfId="0" applyNumberFormat="1" applyFont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186" fontId="8" fillId="2" borderId="0" xfId="0" applyNumberFormat="1" applyFont="1" applyFill="1" applyBorder="1" applyAlignment="1">
      <alignment horizontal="left" vertical="center"/>
    </xf>
    <xf numFmtId="185" fontId="8" fillId="2" borderId="0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87" fontId="8" fillId="2" borderId="0" xfId="0" applyNumberFormat="1" applyFont="1" applyFill="1" applyBorder="1" applyAlignment="1">
      <alignment horizontal="left" vertical="center"/>
    </xf>
    <xf numFmtId="0" fontId="17" fillId="9" borderId="104" xfId="0" applyFont="1" applyFill="1" applyBorder="1" applyAlignment="1">
      <alignment horizontal="left" vertical="center"/>
    </xf>
    <xf numFmtId="0" fontId="8" fillId="2" borderId="108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109" xfId="0" applyFont="1" applyFill="1" applyBorder="1" applyAlignment="1">
      <alignment horizontal="center" vertical="center"/>
    </xf>
    <xf numFmtId="0" fontId="8" fillId="2" borderId="106" xfId="0" applyFont="1" applyFill="1" applyBorder="1" applyAlignment="1">
      <alignment horizontal="center" vertical="center"/>
    </xf>
    <xf numFmtId="0" fontId="17" fillId="9" borderId="104" xfId="0" applyFont="1" applyFill="1" applyBorder="1" applyAlignment="1">
      <alignment horizontal="center" vertical="center"/>
    </xf>
    <xf numFmtId="0" fontId="8" fillId="0" borderId="83" xfId="0" applyFont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81" xfId="0" applyFont="1" applyBorder="1" applyAlignment="1">
      <alignment horizontal="center" vertical="center"/>
    </xf>
    <xf numFmtId="183" fontId="8" fillId="0" borderId="82" xfId="0" applyNumberFormat="1" applyFont="1" applyBorder="1" applyAlignment="1">
      <alignment horizontal="center" vertical="center"/>
    </xf>
    <xf numFmtId="0" fontId="8" fillId="0" borderId="98" xfId="0" applyFont="1" applyBorder="1" applyAlignment="1">
      <alignment horizontal="center" vertical="center"/>
    </xf>
    <xf numFmtId="183" fontId="8" fillId="0" borderId="43" xfId="0" applyNumberFormat="1" applyFont="1" applyBorder="1" applyAlignment="1">
      <alignment horizontal="center" vertical="center"/>
    </xf>
    <xf numFmtId="192" fontId="8" fillId="0" borderId="31" xfId="0" applyNumberFormat="1" applyFont="1" applyBorder="1" applyAlignment="1">
      <alignment horizontal="center" vertical="center"/>
    </xf>
    <xf numFmtId="0" fontId="8" fillId="0" borderId="113" xfId="0" applyFont="1" applyBorder="1" applyAlignment="1">
      <alignment horizontal="center" vertical="center"/>
    </xf>
    <xf numFmtId="183" fontId="8" fillId="0" borderId="114" xfId="0" applyNumberFormat="1" applyFont="1" applyBorder="1" applyAlignment="1">
      <alignment horizontal="center" vertical="center"/>
    </xf>
    <xf numFmtId="192" fontId="8" fillId="0" borderId="82" xfId="0" applyNumberFormat="1" applyFont="1" applyBorder="1" applyAlignment="1">
      <alignment horizontal="center" vertical="center"/>
    </xf>
    <xf numFmtId="193" fontId="8" fillId="0" borderId="7" xfId="0" applyNumberFormat="1" applyFont="1" applyBorder="1" applyAlignment="1">
      <alignment horizontal="center" vertical="center"/>
    </xf>
    <xf numFmtId="192" fontId="8" fillId="0" borderId="43" xfId="0" applyNumberFormat="1" applyFont="1" applyBorder="1" applyAlignment="1">
      <alignment horizontal="center" vertical="center"/>
    </xf>
    <xf numFmtId="192" fontId="8" fillId="0" borderId="114" xfId="0" applyNumberFormat="1" applyFont="1" applyBorder="1" applyAlignment="1">
      <alignment horizontal="center" vertical="center"/>
    </xf>
    <xf numFmtId="194" fontId="8" fillId="0" borderId="110" xfId="0" applyNumberFormat="1" applyFont="1" applyBorder="1" applyAlignment="1">
      <alignment horizontal="center" vertical="center"/>
    </xf>
    <xf numFmtId="0" fontId="8" fillId="0" borderId="116" xfId="0" applyFont="1" applyBorder="1" applyAlignment="1">
      <alignment horizontal="center" vertical="center"/>
    </xf>
    <xf numFmtId="192" fontId="8" fillId="0" borderId="117" xfId="0" applyNumberFormat="1" applyFont="1" applyBorder="1" applyAlignment="1">
      <alignment horizontal="center" vertical="center"/>
    </xf>
    <xf numFmtId="192" fontId="8" fillId="0" borderId="118" xfId="0" applyNumberFormat="1" applyFont="1" applyBorder="1" applyAlignment="1">
      <alignment horizontal="center" vertical="center"/>
    </xf>
    <xf numFmtId="192" fontId="8" fillId="0" borderId="106" xfId="0" applyNumberFormat="1" applyFont="1" applyBorder="1" applyAlignment="1">
      <alignment horizontal="center" vertical="center"/>
    </xf>
    <xf numFmtId="192" fontId="8" fillId="0" borderId="16" xfId="0" applyNumberFormat="1" applyFont="1" applyBorder="1" applyAlignment="1">
      <alignment horizontal="center" vertical="center"/>
    </xf>
    <xf numFmtId="195" fontId="8" fillId="0" borderId="0" xfId="0" applyNumberFormat="1" applyFont="1" applyAlignment="1">
      <alignment horizontal="center" vertical="center"/>
    </xf>
    <xf numFmtId="193" fontId="8" fillId="0" borderId="31" xfId="0" applyNumberFormat="1" applyFont="1" applyBorder="1" applyAlignment="1">
      <alignment horizontal="center" vertical="center"/>
    </xf>
    <xf numFmtId="193" fontId="8" fillId="0" borderId="110" xfId="0" applyNumberFormat="1" applyFont="1" applyBorder="1" applyAlignment="1">
      <alignment horizontal="center" vertical="center"/>
    </xf>
    <xf numFmtId="197" fontId="8" fillId="0" borderId="7" xfId="0" applyNumberFormat="1" applyFont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10" fontId="8" fillId="2" borderId="45" xfId="0" applyNumberFormat="1" applyFont="1" applyFill="1" applyBorder="1" applyAlignment="1">
      <alignment horizontal="center" vertical="center"/>
    </xf>
    <xf numFmtId="0" fontId="6" fillId="8" borderId="52" xfId="0" applyFont="1" applyFill="1" applyBorder="1" applyAlignment="1">
      <alignment horizontal="center" vertical="center"/>
    </xf>
    <xf numFmtId="0" fontId="6" fillId="8" borderId="44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9" fontId="6" fillId="8" borderId="44" xfId="0" applyNumberFormat="1" applyFont="1" applyFill="1" applyBorder="1" applyAlignment="1">
      <alignment horizontal="center" vertical="center"/>
    </xf>
    <xf numFmtId="0" fontId="6" fillId="8" borderId="48" xfId="0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6" fillId="8" borderId="53" xfId="0" applyFont="1" applyFill="1" applyBorder="1" applyAlignment="1"/>
    <xf numFmtId="0" fontId="6" fillId="8" borderId="49" xfId="0" applyFont="1" applyFill="1" applyBorder="1" applyAlignment="1"/>
    <xf numFmtId="0" fontId="8" fillId="8" borderId="103" xfId="0" applyFont="1" applyFill="1" applyBorder="1" applyAlignment="1">
      <alignment horizontal="center" vertical="center"/>
    </xf>
    <xf numFmtId="0" fontId="8" fillId="8" borderId="97" xfId="0" applyFont="1" applyFill="1" applyBorder="1" applyAlignment="1">
      <alignment horizontal="center" vertical="center"/>
    </xf>
    <xf numFmtId="187" fontId="8" fillId="8" borderId="102" xfId="0" applyNumberFormat="1" applyFont="1" applyFill="1" applyBorder="1" applyAlignment="1">
      <alignment horizontal="center" vertical="center"/>
    </xf>
    <xf numFmtId="10" fontId="8" fillId="8" borderId="80" xfId="0" applyNumberFormat="1" applyFont="1" applyFill="1" applyBorder="1" applyAlignment="1">
      <alignment horizontal="center" vertical="center"/>
    </xf>
    <xf numFmtId="187" fontId="8" fillId="8" borderId="45" xfId="0" applyNumberFormat="1" applyFont="1" applyFill="1" applyBorder="1" applyAlignment="1">
      <alignment horizontal="center" vertical="center"/>
    </xf>
    <xf numFmtId="187" fontId="8" fillId="8" borderId="47" xfId="0" applyNumberFormat="1" applyFont="1" applyFill="1" applyBorder="1" applyAlignment="1">
      <alignment horizontal="center" vertical="center"/>
    </xf>
    <xf numFmtId="10" fontId="8" fillId="8" borderId="100" xfId="0" applyNumberFormat="1" applyFont="1" applyFill="1" applyBorder="1" applyAlignment="1">
      <alignment horizontal="center" vertical="center"/>
    </xf>
    <xf numFmtId="196" fontId="8" fillId="0" borderId="16" xfId="0" applyNumberFormat="1" applyFont="1" applyBorder="1" applyAlignment="1">
      <alignment horizontal="center" vertical="center"/>
    </xf>
    <xf numFmtId="0" fontId="8" fillId="2" borderId="73" xfId="0" applyFont="1" applyFill="1" applyBorder="1" applyAlignment="1">
      <alignment horizontal="center" vertical="center"/>
    </xf>
    <xf numFmtId="0" fontId="8" fillId="2" borderId="74" xfId="0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center" vertical="center"/>
    </xf>
    <xf numFmtId="0" fontId="8" fillId="2" borderId="83" xfId="0" applyFont="1" applyFill="1" applyBorder="1" applyAlignment="1">
      <alignment horizontal="center" vertical="center"/>
    </xf>
    <xf numFmtId="0" fontId="8" fillId="0" borderId="109" xfId="0" applyFont="1" applyBorder="1" applyAlignment="1">
      <alignment horizontal="center" vertical="center"/>
    </xf>
    <xf numFmtId="196" fontId="8" fillId="0" borderId="108" xfId="0" applyNumberFormat="1" applyFont="1" applyBorder="1" applyAlignment="1">
      <alignment horizontal="center" vertical="center"/>
    </xf>
    <xf numFmtId="0" fontId="8" fillId="0" borderId="75" xfId="0" applyFont="1" applyBorder="1" applyAlignment="1">
      <alignment horizontal="center" vertical="center"/>
    </xf>
    <xf numFmtId="0" fontId="8" fillId="0" borderId="74" xfId="0" applyFont="1" applyBorder="1" applyAlignment="1">
      <alignment horizontal="center" vertical="center"/>
    </xf>
    <xf numFmtId="196" fontId="8" fillId="0" borderId="106" xfId="0" applyNumberFormat="1" applyFont="1" applyBorder="1" applyAlignment="1">
      <alignment horizontal="center" vertical="center"/>
    </xf>
    <xf numFmtId="0" fontId="8" fillId="11" borderId="0" xfId="0" applyFont="1" applyFill="1" applyAlignment="1">
      <alignment horizontal="right" vertical="center"/>
    </xf>
    <xf numFmtId="192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left" vertical="center"/>
    </xf>
    <xf numFmtId="0" fontId="8" fillId="0" borderId="119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196" fontId="8" fillId="0" borderId="10" xfId="0" applyNumberFormat="1" applyFont="1" applyBorder="1" applyAlignment="1">
      <alignment horizontal="center" vertical="center"/>
    </xf>
    <xf numFmtId="196" fontId="8" fillId="0" borderId="7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left" vertical="center"/>
    </xf>
    <xf numFmtId="0" fontId="8" fillId="0" borderId="0" xfId="0" applyNumberFormat="1" applyFont="1" applyBorder="1" applyAlignment="1">
      <alignment horizontal="center" vertical="center"/>
    </xf>
    <xf numFmtId="0" fontId="41" fillId="0" borderId="0" xfId="2" applyNumberFormat="1" applyFont="1" applyFill="1" applyBorder="1" applyAlignment="1">
      <alignment horizontal="center" vertical="center"/>
    </xf>
    <xf numFmtId="0" fontId="41" fillId="0" borderId="0" xfId="2" applyNumberFormat="1" applyFont="1" applyFill="1" applyBorder="1" applyAlignment="1">
      <alignment horizontal="center" vertical="center" wrapText="1"/>
    </xf>
    <xf numFmtId="0" fontId="41" fillId="0" borderId="0" xfId="2" applyNumberFormat="1" applyFont="1" applyFill="1" applyBorder="1" applyAlignment="1">
      <alignment horizontal="center" wrapText="1"/>
    </xf>
    <xf numFmtId="0" fontId="41" fillId="0" borderId="0" xfId="2" applyNumberFormat="1" applyFont="1" applyFill="1" applyBorder="1" applyAlignment="1">
      <alignment horizontal="center"/>
    </xf>
    <xf numFmtId="0" fontId="8" fillId="0" borderId="0" xfId="1" applyNumberFormat="1" applyFont="1" applyBorder="1" applyAlignment="1">
      <alignment horizontal="center" vertical="center"/>
    </xf>
    <xf numFmtId="0" fontId="41" fillId="0" borderId="0" xfId="1" applyNumberFormat="1" applyFont="1" applyFill="1" applyBorder="1" applyAlignment="1">
      <alignment horizontal="center" vertical="center"/>
    </xf>
    <xf numFmtId="0" fontId="41" fillId="0" borderId="0" xfId="1" applyNumberFormat="1" applyFont="1" applyFill="1" applyBorder="1" applyAlignment="1">
      <alignment horizontal="center" vertical="center" wrapText="1"/>
    </xf>
    <xf numFmtId="0" fontId="8" fillId="0" borderId="0" xfId="0" applyNumberFormat="1" applyFont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27" xfId="0" applyNumberFormat="1" applyFont="1" applyBorder="1" applyAlignment="1">
      <alignment horizontal="center" vertical="center"/>
    </xf>
    <xf numFmtId="0" fontId="8" fillId="0" borderId="30" xfId="0" applyNumberFormat="1" applyFont="1" applyBorder="1" applyAlignment="1">
      <alignment horizontal="center" vertical="center"/>
    </xf>
    <xf numFmtId="0" fontId="8" fillId="0" borderId="32" xfId="0" applyNumberFormat="1" applyFont="1" applyBorder="1" applyAlignment="1">
      <alignment horizontal="center" vertical="center"/>
    </xf>
    <xf numFmtId="10" fontId="8" fillId="0" borderId="21" xfId="0" applyNumberFormat="1" applyFont="1" applyBorder="1" applyAlignment="1">
      <alignment horizontal="center" vertical="center"/>
    </xf>
    <xf numFmtId="10" fontId="8" fillId="0" borderId="23" xfId="0" applyNumberFormat="1" applyFont="1" applyBorder="1" applyAlignment="1">
      <alignment horizontal="center" vertical="center"/>
    </xf>
    <xf numFmtId="0" fontId="8" fillId="0" borderId="5" xfId="0" applyNumberFormat="1" applyFont="1" applyBorder="1" applyAlignment="1">
      <alignment horizontal="center" vertical="center"/>
    </xf>
    <xf numFmtId="10" fontId="8" fillId="0" borderId="6" xfId="0" applyNumberFormat="1" applyFont="1" applyBorder="1" applyAlignment="1">
      <alignment horizontal="center" vertical="center"/>
    </xf>
    <xf numFmtId="10" fontId="8" fillId="0" borderId="121" xfId="0" applyNumberFormat="1" applyFont="1" applyBorder="1" applyAlignment="1">
      <alignment horizontal="center" vertical="center"/>
    </xf>
    <xf numFmtId="0" fontId="8" fillId="0" borderId="123" xfId="0" applyNumberFormat="1" applyFont="1" applyBorder="1" applyAlignment="1">
      <alignment horizontal="center" vertical="center"/>
    </xf>
    <xf numFmtId="0" fontId="8" fillId="0" borderId="124" xfId="0" applyNumberFormat="1" applyFont="1" applyBorder="1" applyAlignment="1">
      <alignment horizontal="center" vertical="center"/>
    </xf>
    <xf numFmtId="0" fontId="8" fillId="0" borderId="9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10" fontId="8" fillId="0" borderId="12" xfId="0" applyNumberFormat="1" applyFont="1" applyBorder="1" applyAlignment="1">
      <alignment horizontal="center" vertical="center"/>
    </xf>
    <xf numFmtId="10" fontId="8" fillId="0" borderId="125" xfId="0" applyNumberFormat="1" applyFont="1" applyBorder="1" applyAlignment="1">
      <alignment horizontal="center" vertical="center"/>
    </xf>
    <xf numFmtId="0" fontId="8" fillId="0" borderId="126" xfId="0" applyNumberFormat="1" applyFont="1" applyBorder="1" applyAlignment="1">
      <alignment horizontal="center" vertical="center"/>
    </xf>
    <xf numFmtId="10" fontId="8" fillId="0" borderId="127" xfId="0" applyNumberFormat="1" applyFont="1" applyBorder="1" applyAlignment="1">
      <alignment horizontal="center" vertical="center"/>
    </xf>
    <xf numFmtId="10" fontId="8" fillId="0" borderId="128" xfId="0" applyNumberFormat="1" applyFont="1" applyBorder="1" applyAlignment="1">
      <alignment horizontal="center" vertical="center"/>
    </xf>
    <xf numFmtId="0" fontId="8" fillId="0" borderId="8" xfId="0" applyNumberFormat="1" applyFont="1" applyBorder="1" applyAlignment="1">
      <alignment horizontal="center" vertical="center"/>
    </xf>
    <xf numFmtId="10" fontId="8" fillId="0" borderId="8" xfId="0" applyNumberFormat="1" applyFont="1" applyBorder="1" applyAlignment="1">
      <alignment horizontal="center" vertical="center"/>
    </xf>
    <xf numFmtId="178" fontId="8" fillId="0" borderId="37" xfId="0" applyNumberFormat="1" applyFont="1" applyBorder="1" applyAlignment="1">
      <alignment horizontal="center" vertical="center" wrapText="1"/>
    </xf>
    <xf numFmtId="0" fontId="8" fillId="11" borderId="0" xfId="0" applyFont="1" applyFill="1" applyAlignment="1">
      <alignment vertical="center"/>
    </xf>
    <xf numFmtId="179" fontId="15" fillId="11" borderId="0" xfId="0" applyNumberFormat="1" applyFont="1" applyFill="1" applyAlignment="1">
      <alignment horizontal="center" vertical="center"/>
    </xf>
    <xf numFmtId="180" fontId="8" fillId="11" borderId="58" xfId="0" applyNumberFormat="1" applyFont="1" applyFill="1" applyBorder="1" applyAlignment="1">
      <alignment horizontal="center" vertical="center"/>
    </xf>
    <xf numFmtId="180" fontId="8" fillId="11" borderId="62" xfId="0" applyNumberFormat="1" applyFont="1" applyFill="1" applyBorder="1" applyAlignment="1">
      <alignment horizontal="center" vertical="center"/>
    </xf>
    <xf numFmtId="0" fontId="8" fillId="11" borderId="22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15" fillId="11" borderId="0" xfId="0" applyFont="1" applyFill="1" applyAlignment="1">
      <alignment horizontal="left" vertical="center"/>
    </xf>
    <xf numFmtId="10" fontId="8" fillId="11" borderId="0" xfId="0" applyNumberFormat="1" applyFont="1" applyFill="1" applyAlignment="1">
      <alignment horizontal="center" vertical="center"/>
    </xf>
    <xf numFmtId="183" fontId="8" fillId="0" borderId="31" xfId="0" applyNumberFormat="1" applyFont="1" applyBorder="1" applyAlignment="1">
      <alignment horizontal="center" vertical="center"/>
    </xf>
    <xf numFmtId="183" fontId="8" fillId="0" borderId="35" xfId="0" applyNumberFormat="1" applyFont="1" applyBorder="1" applyAlignment="1">
      <alignment horizontal="center" vertical="center"/>
    </xf>
    <xf numFmtId="183" fontId="8" fillId="0" borderId="7" xfId="0" applyNumberFormat="1" applyFont="1" applyBorder="1" applyAlignment="1">
      <alignment horizontal="center" vertical="center"/>
    </xf>
    <xf numFmtId="0" fontId="8" fillId="0" borderId="129" xfId="0" applyNumberFormat="1" applyFont="1" applyBorder="1" applyAlignment="1">
      <alignment horizontal="center" vertical="center"/>
    </xf>
    <xf numFmtId="183" fontId="8" fillId="0" borderId="6" xfId="0" applyNumberFormat="1" applyFont="1" applyBorder="1" applyAlignment="1">
      <alignment horizontal="center" vertical="center"/>
    </xf>
    <xf numFmtId="183" fontId="8" fillId="0" borderId="21" xfId="0" applyNumberFormat="1" applyFont="1" applyBorder="1" applyAlignment="1">
      <alignment horizontal="center" vertical="center"/>
    </xf>
    <xf numFmtId="183" fontId="8" fillId="0" borderId="37" xfId="0" applyNumberFormat="1" applyFont="1" applyBorder="1" applyAlignment="1">
      <alignment horizontal="center" vertical="center"/>
    </xf>
    <xf numFmtId="0" fontId="34" fillId="0" borderId="46" xfId="0" applyFont="1" applyFill="1" applyBorder="1" applyAlignment="1">
      <alignment horizontal="center" vertical="center"/>
    </xf>
    <xf numFmtId="0" fontId="32" fillId="0" borderId="130" xfId="0" applyFont="1" applyFill="1" applyBorder="1" applyAlignment="1">
      <alignment horizontal="center" vertical="center"/>
    </xf>
    <xf numFmtId="0" fontId="34" fillId="6" borderId="46" xfId="0" applyFont="1" applyFill="1" applyBorder="1" applyAlignment="1">
      <alignment horizontal="center" vertical="center"/>
    </xf>
    <xf numFmtId="0" fontId="34" fillId="0" borderId="49" xfId="0" applyFont="1" applyFill="1" applyBorder="1" applyAlignment="1">
      <alignment horizontal="center" vertical="center"/>
    </xf>
    <xf numFmtId="10" fontId="6" fillId="0" borderId="24" xfId="0" applyNumberFormat="1" applyFont="1" applyBorder="1" applyAlignment="1">
      <alignment horizontal="center"/>
    </xf>
    <xf numFmtId="10" fontId="6" fillId="0" borderId="25" xfId="0" applyNumberFormat="1" applyFont="1" applyBorder="1" applyAlignment="1">
      <alignment horizontal="center"/>
    </xf>
    <xf numFmtId="10" fontId="6" fillId="0" borderId="70" xfId="0" applyNumberFormat="1" applyFont="1" applyBorder="1" applyAlignment="1">
      <alignment horizontal="center"/>
    </xf>
    <xf numFmtId="10" fontId="6" fillId="0" borderId="121" xfId="0" applyNumberFormat="1" applyFont="1" applyBorder="1" applyAlignment="1">
      <alignment horizontal="center"/>
    </xf>
    <xf numFmtId="9" fontId="6" fillId="0" borderId="131" xfId="0" applyNumberFormat="1" applyFont="1" applyBorder="1" applyAlignment="1">
      <alignment horizontal="center"/>
    </xf>
    <xf numFmtId="10" fontId="6" fillId="0" borderId="82" xfId="0" applyNumberFormat="1" applyFont="1" applyBorder="1" applyAlignment="1">
      <alignment horizontal="center"/>
    </xf>
    <xf numFmtId="10" fontId="6" fillId="0" borderId="67" xfId="0" applyNumberFormat="1" applyFont="1" applyBorder="1" applyAlignment="1">
      <alignment horizontal="center"/>
    </xf>
    <xf numFmtId="0" fontId="6" fillId="0" borderId="99" xfId="0" applyFont="1" applyBorder="1" applyAlignment="1">
      <alignment horizontal="center" vertical="center"/>
    </xf>
    <xf numFmtId="0" fontId="6" fillId="0" borderId="132" xfId="0" applyFont="1" applyBorder="1" applyAlignment="1">
      <alignment horizontal="center"/>
    </xf>
    <xf numFmtId="0" fontId="6" fillId="0" borderId="133" xfId="0" applyFont="1" applyBorder="1" applyAlignment="1">
      <alignment horizontal="center"/>
    </xf>
    <xf numFmtId="198" fontId="5" fillId="0" borderId="63" xfId="0" applyNumberFormat="1" applyFont="1" applyBorder="1" applyAlignment="1">
      <alignment horizontal="right" vertical="center"/>
    </xf>
    <xf numFmtId="0" fontId="8" fillId="0" borderId="91" xfId="0" applyNumberFormat="1" applyFont="1" applyBorder="1" applyAlignment="1">
      <alignment horizontal="center" vertical="center"/>
    </xf>
    <xf numFmtId="10" fontId="6" fillId="8" borderId="44" xfId="0" applyNumberFormat="1" applyFont="1" applyFill="1" applyBorder="1" applyAlignment="1">
      <alignment horizontal="center" vertical="center"/>
    </xf>
    <xf numFmtId="0" fontId="6" fillId="8" borderId="53" xfId="0" applyFont="1" applyFill="1" applyBorder="1" applyAlignment="1">
      <alignment horizontal="center" vertical="center"/>
    </xf>
    <xf numFmtId="0" fontId="6" fillId="8" borderId="54" xfId="0" applyNumberFormat="1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right" vertical="center"/>
    </xf>
    <xf numFmtId="0" fontId="8" fillId="8" borderId="87" xfId="0" applyFont="1" applyFill="1" applyBorder="1" applyAlignment="1">
      <alignment horizontal="left" vertical="center"/>
    </xf>
    <xf numFmtId="0" fontId="8" fillId="8" borderId="45" xfId="0" applyFont="1" applyFill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0" fontId="8" fillId="8" borderId="47" xfId="0" applyFont="1" applyFill="1" applyBorder="1" applyAlignment="1">
      <alignment horizontal="center" vertical="center"/>
    </xf>
    <xf numFmtId="0" fontId="8" fillId="8" borderId="48" xfId="0" applyFont="1" applyFill="1" applyBorder="1" applyAlignment="1">
      <alignment horizontal="center" vertical="center"/>
    </xf>
    <xf numFmtId="198" fontId="5" fillId="0" borderId="10" xfId="0" applyNumberFormat="1" applyFont="1" applyBorder="1" applyAlignment="1">
      <alignment horizontal="right" vertical="center"/>
    </xf>
    <xf numFmtId="198" fontId="5" fillId="0" borderId="16" xfId="0" applyNumberFormat="1" applyFont="1" applyBorder="1" applyAlignment="1">
      <alignment horizontal="right" vertical="center"/>
    </xf>
    <xf numFmtId="198" fontId="5" fillId="0" borderId="44" xfId="0" applyNumberFormat="1" applyFont="1" applyBorder="1" applyAlignment="1">
      <alignment horizontal="right" vertical="center"/>
    </xf>
    <xf numFmtId="198" fontId="5" fillId="0" borderId="106" xfId="0" applyNumberFormat="1" applyFont="1" applyBorder="1" applyAlignment="1">
      <alignment horizontal="right" vertical="center"/>
    </xf>
    <xf numFmtId="198" fontId="5" fillId="0" borderId="42" xfId="0" applyNumberFormat="1" applyFont="1" applyBorder="1" applyAlignment="1">
      <alignment horizontal="right" vertical="center"/>
    </xf>
    <xf numFmtId="198" fontId="5" fillId="0" borderId="82" xfId="0" applyNumberFormat="1" applyFont="1" applyBorder="1" applyAlignment="1">
      <alignment horizontal="right" vertical="center"/>
    </xf>
    <xf numFmtId="198" fontId="5" fillId="0" borderId="7" xfId="0" applyNumberFormat="1" applyFont="1" applyBorder="1" applyAlignment="1">
      <alignment horizontal="right" vertical="center"/>
    </xf>
    <xf numFmtId="196" fontId="8" fillId="0" borderId="0" xfId="0" applyNumberFormat="1" applyFont="1" applyBorder="1" applyAlignment="1">
      <alignment horizontal="center" vertical="center"/>
    </xf>
    <xf numFmtId="0" fontId="8" fillId="0" borderId="137" xfId="0" applyFont="1" applyBorder="1" applyAlignment="1">
      <alignment horizontal="center" vertical="center"/>
    </xf>
    <xf numFmtId="0" fontId="8" fillId="0" borderId="138" xfId="0" applyNumberFormat="1" applyFont="1" applyBorder="1" applyAlignment="1">
      <alignment horizontal="center" vertical="center"/>
    </xf>
    <xf numFmtId="10" fontId="8" fillId="0" borderId="139" xfId="0" applyNumberFormat="1" applyFont="1" applyBorder="1" applyAlignment="1">
      <alignment horizontal="center" vertical="center"/>
    </xf>
    <xf numFmtId="10" fontId="8" fillId="0" borderId="140" xfId="0" applyNumberFormat="1" applyFont="1" applyBorder="1" applyAlignment="1">
      <alignment horizontal="center" vertical="center"/>
    </xf>
    <xf numFmtId="10" fontId="8" fillId="0" borderId="141" xfId="0" applyNumberFormat="1" applyFont="1" applyBorder="1" applyAlignment="1">
      <alignment horizontal="center" vertical="center"/>
    </xf>
    <xf numFmtId="10" fontId="8" fillId="0" borderId="142" xfId="0" applyNumberFormat="1" applyFont="1" applyBorder="1" applyAlignment="1">
      <alignment horizontal="center" vertical="center"/>
    </xf>
    <xf numFmtId="10" fontId="8" fillId="0" borderId="0" xfId="0" applyNumberFormat="1" applyFont="1" applyBorder="1" applyAlignment="1">
      <alignment horizontal="center" vertical="center"/>
    </xf>
    <xf numFmtId="0" fontId="8" fillId="0" borderId="144" xfId="0" applyNumberFormat="1" applyFont="1" applyBorder="1" applyAlignment="1">
      <alignment horizontal="center" vertical="center"/>
    </xf>
    <xf numFmtId="0" fontId="8" fillId="0" borderId="145" xfId="0" applyNumberFormat="1" applyFont="1" applyBorder="1" applyAlignment="1">
      <alignment horizontal="center" vertical="center"/>
    </xf>
    <xf numFmtId="187" fontId="8" fillId="0" borderId="81" xfId="0" applyNumberFormat="1" applyFont="1" applyBorder="1" applyAlignment="1">
      <alignment horizontal="center" vertical="center"/>
    </xf>
    <xf numFmtId="187" fontId="8" fillId="0" borderId="135" xfId="0" applyNumberFormat="1" applyFont="1" applyBorder="1" applyAlignment="1">
      <alignment horizontal="center" vertical="center"/>
    </xf>
    <xf numFmtId="187" fontId="8" fillId="0" borderId="7" xfId="0" applyNumberFormat="1" applyFont="1" applyBorder="1" applyAlignment="1">
      <alignment horizontal="center" vertical="center"/>
    </xf>
    <xf numFmtId="187" fontId="8" fillId="0" borderId="98" xfId="0" applyNumberFormat="1" applyFont="1" applyBorder="1" applyAlignment="1">
      <alignment horizontal="center" vertical="center"/>
    </xf>
    <xf numFmtId="187" fontId="8" fillId="0" borderId="38" xfId="0" applyNumberFormat="1" applyFont="1" applyBorder="1" applyAlignment="1">
      <alignment horizontal="center" vertical="center"/>
    </xf>
    <xf numFmtId="187" fontId="8" fillId="0" borderId="31" xfId="0" applyNumberFormat="1" applyFont="1" applyBorder="1" applyAlignment="1">
      <alignment horizontal="center" vertical="center"/>
    </xf>
    <xf numFmtId="187" fontId="8" fillId="0" borderId="146" xfId="0" applyNumberFormat="1" applyFont="1" applyBorder="1" applyAlignment="1">
      <alignment horizontal="center" vertical="center"/>
    </xf>
    <xf numFmtId="187" fontId="8" fillId="0" borderId="136" xfId="0" applyNumberFormat="1" applyFont="1" applyBorder="1" applyAlignment="1">
      <alignment horizontal="center" vertical="center"/>
    </xf>
    <xf numFmtId="187" fontId="8" fillId="0" borderId="35" xfId="0" applyNumberFormat="1" applyFont="1" applyBorder="1" applyAlignment="1">
      <alignment horizontal="center" vertical="center"/>
    </xf>
    <xf numFmtId="0" fontId="8" fillId="0" borderId="147" xfId="0" applyFont="1" applyBorder="1" applyAlignment="1">
      <alignment horizontal="center" vertical="center"/>
    </xf>
    <xf numFmtId="196" fontId="8" fillId="0" borderId="52" xfId="0" applyNumberFormat="1" applyFont="1" applyBorder="1" applyAlignment="1">
      <alignment horizontal="center" vertical="center"/>
    </xf>
    <xf numFmtId="196" fontId="8" fillId="0" borderId="148" xfId="0" applyNumberFormat="1" applyFont="1" applyBorder="1" applyAlignment="1">
      <alignment horizontal="center" vertical="center"/>
    </xf>
    <xf numFmtId="196" fontId="8" fillId="0" borderId="149" xfId="0" applyNumberFormat="1" applyFont="1" applyBorder="1" applyAlignment="1">
      <alignment horizontal="center" vertical="center"/>
    </xf>
    <xf numFmtId="0" fontId="34" fillId="7" borderId="46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2" fillId="7" borderId="0" xfId="0" applyFont="1" applyFill="1" applyBorder="1" applyAlignment="1">
      <alignment horizontal="center" vertical="center"/>
    </xf>
    <xf numFmtId="199" fontId="5" fillId="0" borderId="10" xfId="0" applyNumberFormat="1" applyFont="1" applyBorder="1" applyAlignment="1">
      <alignment horizontal="right" vertical="center"/>
    </xf>
    <xf numFmtId="199" fontId="5" fillId="0" borderId="16" xfId="0" applyNumberFormat="1" applyFont="1" applyBorder="1" applyAlignment="1">
      <alignment horizontal="right" vertical="center"/>
    </xf>
    <xf numFmtId="199" fontId="5" fillId="0" borderId="44" xfId="0" applyNumberFormat="1" applyFont="1" applyBorder="1" applyAlignment="1">
      <alignment horizontal="right" vertical="center"/>
    </xf>
    <xf numFmtId="199" fontId="5" fillId="0" borderId="106" xfId="0" applyNumberFormat="1" applyFont="1" applyBorder="1" applyAlignment="1">
      <alignment horizontal="right" vertical="center"/>
    </xf>
    <xf numFmtId="199" fontId="5" fillId="0" borderId="82" xfId="0" applyNumberFormat="1" applyFont="1" applyBorder="1" applyAlignment="1">
      <alignment horizontal="right" vertical="center"/>
    </xf>
    <xf numFmtId="199" fontId="5" fillId="0" borderId="7" xfId="0" applyNumberFormat="1" applyFont="1" applyBorder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7" fillId="9" borderId="38" xfId="0" applyFont="1" applyFill="1" applyBorder="1" applyAlignment="1">
      <alignment horizontal="left" vertical="center"/>
    </xf>
    <xf numFmtId="0" fontId="17" fillId="10" borderId="38" xfId="0" applyFont="1" applyFill="1" applyBorder="1" applyAlignment="1">
      <alignment horizontal="left" vertical="center"/>
    </xf>
    <xf numFmtId="0" fontId="17" fillId="5" borderId="104" xfId="0" applyFont="1" applyFill="1" applyBorder="1" applyAlignment="1">
      <alignment horizontal="left" vertical="center"/>
    </xf>
    <xf numFmtId="0" fontId="17" fillId="3" borderId="17" xfId="0" applyFont="1" applyFill="1" applyBorder="1" applyAlignment="1">
      <alignment horizontal="left" vertical="center"/>
    </xf>
    <xf numFmtId="0" fontId="17" fillId="4" borderId="38" xfId="0" applyFont="1" applyFill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2" borderId="40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2" borderId="40" xfId="0" applyFont="1" applyFill="1" applyBorder="1" applyAlignment="1">
      <alignment horizontal="center" vertical="center"/>
    </xf>
    <xf numFmtId="0" fontId="8" fillId="0" borderId="36" xfId="0" applyNumberFormat="1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8" fillId="0" borderId="134" xfId="0" applyFont="1" applyBorder="1" applyAlignment="1">
      <alignment horizontal="center" vertical="center"/>
    </xf>
    <xf numFmtId="0" fontId="5" fillId="0" borderId="143" xfId="0" applyFont="1" applyBorder="1" applyAlignment="1">
      <alignment horizontal="center" vertical="center"/>
    </xf>
    <xf numFmtId="0" fontId="17" fillId="3" borderId="17" xfId="0" applyFont="1" applyFill="1" applyBorder="1" applyAlignment="1">
      <alignment horizontal="left" vertical="center"/>
    </xf>
    <xf numFmtId="0" fontId="17" fillId="4" borderId="38" xfId="0" applyFont="1" applyFill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6" fillId="8" borderId="87" xfId="0" applyFont="1" applyFill="1" applyBorder="1" applyAlignment="1">
      <alignment horizontal="center" vertical="center"/>
    </xf>
    <xf numFmtId="0" fontId="6" fillId="8" borderId="86" xfId="0" applyFont="1" applyFill="1" applyBorder="1" applyAlignment="1">
      <alignment horizontal="center" vertical="center"/>
    </xf>
    <xf numFmtId="0" fontId="6" fillId="8" borderId="91" xfId="0" applyFont="1" applyFill="1" applyBorder="1" applyAlignment="1">
      <alignment horizontal="center" vertical="center"/>
    </xf>
    <xf numFmtId="0" fontId="6" fillId="8" borderId="93" xfId="0" applyFont="1" applyFill="1" applyBorder="1" applyAlignment="1">
      <alignment horizontal="center" vertical="center"/>
    </xf>
    <xf numFmtId="0" fontId="6" fillId="8" borderId="88" xfId="0" applyFont="1" applyFill="1" applyBorder="1" applyAlignment="1">
      <alignment horizontal="center" vertical="center" wrapText="1"/>
    </xf>
    <xf numFmtId="0" fontId="6" fillId="8" borderId="89" xfId="0" applyFont="1" applyFill="1" applyBorder="1" applyAlignment="1">
      <alignment horizontal="center" vertical="center" wrapText="1"/>
    </xf>
    <xf numFmtId="0" fontId="6" fillId="8" borderId="94" xfId="0" applyFont="1" applyFill="1" applyBorder="1" applyAlignment="1">
      <alignment horizontal="center" vertical="center" wrapText="1"/>
    </xf>
    <xf numFmtId="0" fontId="6" fillId="8" borderId="95" xfId="0" applyFont="1" applyFill="1" applyBorder="1" applyAlignment="1">
      <alignment horizontal="center" vertical="center" wrapText="1"/>
    </xf>
    <xf numFmtId="0" fontId="6" fillId="8" borderId="92" xfId="0" applyFont="1" applyFill="1" applyBorder="1" applyAlignment="1">
      <alignment horizontal="center" vertical="center"/>
    </xf>
    <xf numFmtId="181" fontId="8" fillId="0" borderId="45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8" borderId="84" xfId="0" applyFont="1" applyFill="1" applyBorder="1" applyAlignment="1">
      <alignment horizontal="center" vertical="center"/>
    </xf>
    <xf numFmtId="0" fontId="5" fillId="8" borderId="101" xfId="0" applyFont="1" applyFill="1" applyBorder="1" applyAlignment="1">
      <alignment horizontal="center" vertical="center"/>
    </xf>
    <xf numFmtId="0" fontId="8" fillId="0" borderId="122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107" xfId="0" applyFont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8" fillId="0" borderId="79" xfId="0" applyFont="1" applyBorder="1" applyAlignment="1">
      <alignment horizontal="center" vertical="center"/>
    </xf>
    <xf numFmtId="0" fontId="8" fillId="0" borderId="115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17" fillId="9" borderId="38" xfId="0" applyFont="1" applyFill="1" applyBorder="1" applyAlignment="1">
      <alignment horizontal="left" vertical="center"/>
    </xf>
    <xf numFmtId="0" fontId="17" fillId="10" borderId="38" xfId="0" applyFont="1" applyFill="1" applyBorder="1" applyAlignment="1">
      <alignment horizontal="left" vertical="center"/>
    </xf>
    <xf numFmtId="0" fontId="17" fillId="5" borderId="104" xfId="0" applyFont="1" applyFill="1" applyBorder="1" applyAlignment="1">
      <alignment horizontal="left" vertical="center"/>
    </xf>
    <xf numFmtId="0" fontId="8" fillId="8" borderId="51" xfId="0" applyFont="1" applyFill="1" applyBorder="1" applyAlignment="1">
      <alignment horizontal="center" vertical="center"/>
    </xf>
    <xf numFmtId="0" fontId="8" fillId="8" borderId="94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5" xfId="0" applyFont="1" applyBorder="1" applyAlignment="1">
      <alignment horizontal="center" vertical="center"/>
    </xf>
    <xf numFmtId="0" fontId="6" fillId="11" borderId="84" xfId="0" applyFont="1" applyFill="1" applyBorder="1" applyAlignment="1">
      <alignment horizontal="center" vertical="center"/>
    </xf>
    <xf numFmtId="0" fontId="6" fillId="11" borderId="85" xfId="0" applyFont="1" applyFill="1" applyBorder="1" applyAlignment="1">
      <alignment horizontal="center" vertical="center"/>
    </xf>
    <xf numFmtId="0" fontId="6" fillId="11" borderId="86" xfId="0" applyFont="1" applyFill="1" applyBorder="1" applyAlignment="1">
      <alignment horizontal="left" vertical="center"/>
    </xf>
    <xf numFmtId="0" fontId="6" fillId="11" borderId="90" xfId="0" applyFont="1" applyFill="1" applyBorder="1" applyAlignment="1">
      <alignment horizontal="center" vertical="center"/>
    </xf>
    <xf numFmtId="0" fontId="6" fillId="11" borderId="91" xfId="0" applyFont="1" applyFill="1" applyBorder="1" applyAlignment="1">
      <alignment horizontal="center" vertical="center"/>
    </xf>
    <xf numFmtId="0" fontId="6" fillId="11" borderId="45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0" fontId="6" fillId="11" borderId="0" xfId="0" applyNumberFormat="1" applyFont="1" applyFill="1" applyBorder="1" applyAlignment="1">
      <alignment horizontal="center" vertical="center"/>
    </xf>
    <xf numFmtId="0" fontId="6" fillId="11" borderId="47" xfId="0" applyFont="1" applyFill="1" applyBorder="1" applyAlignment="1">
      <alignment horizontal="center" vertical="center"/>
    </xf>
    <xf numFmtId="0" fontId="6" fillId="11" borderId="48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34" fillId="6" borderId="0" xfId="0" applyFont="1" applyFill="1" applyBorder="1" applyAlignment="1">
      <alignment horizontal="center" vertical="center"/>
    </xf>
    <xf numFmtId="0" fontId="34" fillId="0" borderId="48" xfId="0" applyFont="1" applyFill="1" applyBorder="1" applyAlignment="1">
      <alignment horizontal="center" vertical="center"/>
    </xf>
    <xf numFmtId="0" fontId="32" fillId="0" borderId="150" xfId="0" applyFont="1" applyFill="1" applyBorder="1" applyAlignment="1">
      <alignment horizontal="center" vertical="center"/>
    </xf>
    <xf numFmtId="0" fontId="5" fillId="0" borderId="151" xfId="0" applyFont="1" applyBorder="1" applyAlignment="1">
      <alignment horizontal="center" vertical="center"/>
    </xf>
    <xf numFmtId="0" fontId="5" fillId="0" borderId="152" xfId="0" applyFont="1" applyBorder="1" applyAlignment="1">
      <alignment horizontal="center" vertical="center"/>
    </xf>
    <xf numFmtId="198" fontId="5" fillId="0" borderId="80" xfId="0" applyNumberFormat="1" applyFont="1" applyBorder="1" applyAlignment="1">
      <alignment horizontal="right" vertical="center"/>
    </xf>
    <xf numFmtId="198" fontId="5" fillId="0" borderId="153" xfId="0" applyNumberFormat="1" applyFont="1" applyBorder="1" applyAlignment="1">
      <alignment horizontal="right" vertical="center"/>
    </xf>
    <xf numFmtId="198" fontId="5" fillId="0" borderId="64" xfId="0" applyNumberFormat="1" applyFont="1" applyBorder="1" applyAlignment="1">
      <alignment horizontal="right" vertical="center"/>
    </xf>
    <xf numFmtId="198" fontId="5" fillId="0" borderId="121" xfId="0" applyNumberFormat="1" applyFont="1" applyBorder="1" applyAlignment="1">
      <alignment horizontal="right" vertical="center"/>
    </xf>
  </cellXfs>
  <cellStyles count="3">
    <cellStyle name="一般" xfId="0" builtinId="0"/>
    <cellStyle name="千分位" xfId="1" builtinId="3"/>
    <cellStyle name="百分比" xfId="2" builtinId="5"/>
  </cellStyles>
  <dxfs count="0"/>
  <tableStyles count="0" defaultTableStyle="TableStyleMedium9" defaultPivotStyle="PivotStyleLight16"/>
  <colors>
    <mruColors>
      <color rgb="FFFFFF99"/>
      <color rgb="FFE7FF71"/>
      <color rgb="FFD2FB75"/>
      <color rgb="FFCCFF66"/>
      <color rgb="FFCCFF99"/>
      <color rgb="FF66FF99"/>
      <color rgb="FFFF99CC"/>
      <color rgb="FFFF3399"/>
      <color rgb="FF0066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0" dropStyle="combo" dx="16" fmlaLink="B4" fmlaRange="Code!$B$3:$B$14" noThreeD="1" sel="1" val="0"/>
</file>

<file path=xl/ctrlProps/ctrlProp2.xml><?xml version="1.0" encoding="utf-8"?>
<formControlPr xmlns="http://schemas.microsoft.com/office/spreadsheetml/2009/9/main" objectType="Drop" dropLines="20" dropStyle="combo" dx="16" fmlaLink="E4" fmlaRange="Code!$E$3:$E$5" noThreeD="1" sel="2" val="0"/>
</file>

<file path=xl/ctrlProps/ctrlProp3.xml><?xml version="1.0" encoding="utf-8"?>
<formControlPr xmlns="http://schemas.microsoft.com/office/spreadsheetml/2009/9/main" objectType="Drop" dropStyle="combo" dx="16" fmlaLink="B11" fmlaRange="Code!$H$3:$H$4" noThreeD="1" sel="1" val="0"/>
</file>

<file path=xl/ctrlProps/ctrlProp4.xml><?xml version="1.0" encoding="utf-8"?>
<formControlPr xmlns="http://schemas.microsoft.com/office/spreadsheetml/2009/9/main" objectType="Drop" dropStyle="combo" dx="16" fmlaLink="B12" fmlaRange="Code!$K$3:$K$5" noThreeD="1" sel="1" val="0"/>
</file>

<file path=xl/ctrlProps/ctrlProp5.xml><?xml version="1.0" encoding="utf-8"?>
<formControlPr xmlns="http://schemas.microsoft.com/office/spreadsheetml/2009/9/main" objectType="CheckBox" checked="Checked" fmlaLink="A24" lockText="1" noThreeD="1"/>
</file>

<file path=xl/ctrlProps/ctrlProp6.xml><?xml version="1.0" encoding="utf-8"?>
<formControlPr xmlns="http://schemas.microsoft.com/office/spreadsheetml/2009/9/main" objectType="CheckBox" checked="Checked" fmlaLink="A25" lockText="1" noThreeD="1"/>
</file>

<file path=xl/ctrlProps/ctrlProp7.xml><?xml version="1.0" encoding="utf-8"?>
<formControlPr xmlns="http://schemas.microsoft.com/office/spreadsheetml/2009/9/main" objectType="CheckBox" checked="Checked" fmlaLink="A26" lockText="1" noThreeD="1"/>
</file>

<file path=xl/ctrlProps/ctrlProp8.xml><?xml version="1.0" encoding="utf-8"?>
<formControlPr xmlns="http://schemas.microsoft.com/office/spreadsheetml/2009/9/main" objectType="CheckBox" fmlaLink="D25" lockText="1" noThreeD="1"/>
</file>

<file path=xl/ctrlProps/ctrlProp9.xml><?xml version="1.0" encoding="utf-8"?>
<formControlPr xmlns="http://schemas.microsoft.com/office/spreadsheetml/2009/9/main" objectType="Drop" dropStyle="combo" dx="16" fmlaLink="B26" fmlaRange="Code!$AF$3:$AF$4" noThreeD="1" sel="2" val="0"/>
</file>

<file path=xl/ctrlProps/ctrlProp10.xml><?xml version="1.0" encoding="utf-8"?>
<formControlPr xmlns="http://schemas.microsoft.com/office/spreadsheetml/2009/9/main" objectType="Drop" dropStyle="combo" dx="16" fmlaLink="D23" fmlaRange="Code!$AI$3:$AI$5" noThreeD="1" sel="3" val="0"/>
</file>

<file path=xl/ctrlProps/ctrlProp11.xml><?xml version="1.0" encoding="utf-8"?>
<formControlPr xmlns="http://schemas.microsoft.com/office/spreadsheetml/2009/9/main" objectType="Drop" dropStyle="combo" dx="16" fmlaLink="B33" fmlaRange="Code!$Z$3:$Z$7" noThreeD="1" sel="2" val="0"/>
</file>

<file path=xl/ctrlProps/ctrlProp12.xml><?xml version="1.0" encoding="utf-8"?>
<formControlPr xmlns="http://schemas.microsoft.com/office/spreadsheetml/2009/9/main" objectType="Drop" dropStyle="combo" dx="16" fmlaLink="C33" fmlaRange="Code!$Z$3:$Z$7" noThreeD="1" sel="0" val="0"/>
</file>

<file path=xl/ctrlProps/ctrlProp13.xml><?xml version="1.0" encoding="utf-8"?>
<formControlPr xmlns="http://schemas.microsoft.com/office/spreadsheetml/2009/9/main" objectType="Drop" dropStyle="combo" dx="16" fmlaLink="D33" fmlaRange="Code!$Z$3:$Z$7" noThreeD="1" sel="0" val="0"/>
</file>

<file path=xl/ctrlProps/ctrlProp14.xml><?xml version="1.0" encoding="utf-8"?>
<formControlPr xmlns="http://schemas.microsoft.com/office/spreadsheetml/2009/9/main" objectType="Drop" dropStyle="combo" dx="16" fmlaLink="E33" fmlaRange="Code!$Z$3:$Z$7" noThreeD="1" sel="0" val="0"/>
</file>

<file path=xl/ctrlProps/ctrlProp15.xml><?xml version="1.0" encoding="utf-8"?>
<formControlPr xmlns="http://schemas.microsoft.com/office/spreadsheetml/2009/9/main" objectType="Drop" dropStyle="combo" dx="16" fmlaLink="F33" fmlaRange="Code!$Z$3:$Z$7" noThreeD="1" sel="0" val="0"/>
</file>

<file path=xl/ctrlProps/ctrlProp16.xml><?xml version="1.0" encoding="utf-8"?>
<formControlPr xmlns="http://schemas.microsoft.com/office/spreadsheetml/2009/9/main" objectType="Drop" dropStyle="combo" dx="16" fmlaLink="G33" fmlaRange="Code!$Z$3:$Z$7" noThreeD="1" sel="0" val="0"/>
</file>

<file path=xl/ctrlProps/ctrlProp17.xml><?xml version="1.0" encoding="utf-8"?>
<formControlPr xmlns="http://schemas.microsoft.com/office/spreadsheetml/2009/9/main" objectType="Drop" dropStyle="combo" dx="16" fmlaLink="B32" fmlaRange="Code!$AL$3:$AL$7" noThreeD="1" sel="2" val="0"/>
</file>

<file path=xl/ctrlProps/ctrlProp18.xml><?xml version="1.0" encoding="utf-8"?>
<formControlPr xmlns="http://schemas.microsoft.com/office/spreadsheetml/2009/9/main" objectType="Drop" dropStyle="combo" dx="16" fmlaLink="C32" fmlaRange="Code!$AL$3:$AL$7" noThreeD="1" sel="0" val="0"/>
</file>

<file path=xl/ctrlProps/ctrlProp19.xml><?xml version="1.0" encoding="utf-8"?>
<formControlPr xmlns="http://schemas.microsoft.com/office/spreadsheetml/2009/9/main" objectType="Drop" dropStyle="combo" dx="16" fmlaLink="D32" fmlaRange="Code!$AL$3:$AL$7" noThreeD="1" sel="0" val="0"/>
</file>

<file path=xl/ctrlProps/ctrlProp20.xml><?xml version="1.0" encoding="utf-8"?>
<formControlPr xmlns="http://schemas.microsoft.com/office/spreadsheetml/2009/9/main" objectType="Drop" dropStyle="combo" dx="16" fmlaLink="E32" fmlaRange="Code!$AL$3:$AL$7" noThreeD="1" sel="0" val="0"/>
</file>

<file path=xl/ctrlProps/ctrlProp21.xml><?xml version="1.0" encoding="utf-8"?>
<formControlPr xmlns="http://schemas.microsoft.com/office/spreadsheetml/2009/9/main" objectType="Drop" dropStyle="combo" dx="16" fmlaLink="F32" fmlaRange="Code!$AL$3:$AL$7" noThreeD="1" sel="0" val="0"/>
</file>

<file path=xl/ctrlProps/ctrlProp22.xml><?xml version="1.0" encoding="utf-8"?>
<formControlPr xmlns="http://schemas.microsoft.com/office/spreadsheetml/2009/9/main" objectType="Drop" dropStyle="combo" dx="16" fmlaLink="G32" fmlaRange="Code!$AL$3:$AL$7" noThreeD="1" sel="0" val="0"/>
</file>

<file path=xl/ctrlProps/ctrlProp23.xml><?xml version="1.0" encoding="utf-8"?>
<formControlPr xmlns="http://schemas.microsoft.com/office/spreadsheetml/2009/9/main" objectType="Drop" dropStyle="combo" dx="16" fmlaLink="H33" fmlaRange="Code!$Z$3:$Z$7" noThreeD="1" sel="0" val="0"/>
</file>

<file path=xl/ctrlProps/ctrlProp24.xml><?xml version="1.0" encoding="utf-8"?>
<formControlPr xmlns="http://schemas.microsoft.com/office/spreadsheetml/2009/9/main" objectType="Drop" dropStyle="combo" dx="16" fmlaLink="I33" fmlaRange="Code!$Z$3:$Z$7" noThreeD="1" sel="0" val="0"/>
</file>

<file path=xl/ctrlProps/ctrlProp25.xml><?xml version="1.0" encoding="utf-8"?>
<formControlPr xmlns="http://schemas.microsoft.com/office/spreadsheetml/2009/9/main" objectType="Drop" dropStyle="combo" dx="16" fmlaLink="J33" fmlaRange="Code!$Z$3:$Z$7" noThreeD="1" sel="0" val="0"/>
</file>

<file path=xl/ctrlProps/ctrlProp26.xml><?xml version="1.0" encoding="utf-8"?>
<formControlPr xmlns="http://schemas.microsoft.com/office/spreadsheetml/2009/9/main" objectType="Drop" dropStyle="combo" dx="16" fmlaLink="H32" fmlaRange="Code!$AL$3:$AL$7" noThreeD="1" sel="0" val="0"/>
</file>

<file path=xl/ctrlProps/ctrlProp27.xml><?xml version="1.0" encoding="utf-8"?>
<formControlPr xmlns="http://schemas.microsoft.com/office/spreadsheetml/2009/9/main" objectType="Drop" dropStyle="combo" dx="16" fmlaLink="I32" fmlaRange="Code!$AL$3:$AL$7" noThreeD="1" sel="0" val="0"/>
</file>

<file path=xl/ctrlProps/ctrlProp28.xml><?xml version="1.0" encoding="utf-8"?>
<formControlPr xmlns="http://schemas.microsoft.com/office/spreadsheetml/2009/9/main" objectType="Drop" dropStyle="combo" dx="16" fmlaLink="J32" fmlaRange="Code!$AL$3:$AL$7" noThreeD="1" sel="0" val="0"/>
</file>

<file path=xl/ctrlProps/ctrlProp29.xml><?xml version="1.0" encoding="utf-8"?>
<formControlPr xmlns="http://schemas.microsoft.com/office/spreadsheetml/2009/9/main" objectType="Drop" dropStyle="combo" dx="16" fmlaLink="B40" fmlaRange="Code!$AL$3:$AL$7" noThreeD="1" sel="0" val="0"/>
</file>

<file path=xl/ctrlProps/ctrlProp30.xml><?xml version="1.0" encoding="utf-8"?>
<formControlPr xmlns="http://schemas.microsoft.com/office/spreadsheetml/2009/9/main" objectType="Drop" dropStyle="combo" dx="16" fmlaLink="B41" fmlaRange="Code!$Z$3:$Z$7" noThreeD="1" sel="0" val="0"/>
</file>

<file path=xl/ctrlProps/ctrlProp31.xml><?xml version="1.0" encoding="utf-8"?>
<formControlPr xmlns="http://schemas.microsoft.com/office/spreadsheetml/2009/9/main" objectType="Drop" dropStyle="combo" dx="16" fmlaLink="A38" fmlaRange="Code!$N$3:$N$5" noThreeD="1" sel="0" val="0"/>
</file>

<file path=xl/ctrlProps/ctrlProp32.xml><?xml version="1.0" encoding="utf-8"?>
<formControlPr xmlns="http://schemas.microsoft.com/office/spreadsheetml/2009/9/main" objectType="CheckBox" fmlaLink="C47" lockText="1" noThreeD="1"/>
</file>

<file path=xl/ctrlProps/ctrlProp33.xml><?xml version="1.0" encoding="utf-8"?>
<formControlPr xmlns="http://schemas.microsoft.com/office/spreadsheetml/2009/9/main" objectType="CheckBox" fmlaLink="D47" lockText="1" noThreeD="1"/>
</file>

<file path=xl/ctrlProps/ctrlProp34.xml><?xml version="1.0" encoding="utf-8"?>
<formControlPr xmlns="http://schemas.microsoft.com/office/spreadsheetml/2009/9/main" objectType="CheckBox" checked="Checked" fmlaLink="B28" lockText="1" noThreeD="1"/>
</file>

<file path=xl/ctrlProps/ctrlProp35.xml><?xml version="1.0" encoding="utf-8"?>
<formControlPr xmlns="http://schemas.microsoft.com/office/spreadsheetml/2009/9/main" objectType="Drop" dropStyle="combo" dx="16" fmlaLink="C68" fmlaRange="Code!$AO$3:$AO$6" noThreeD="1" sel="4" val="0"/>
</file>

<file path=xl/ctrlProps/ctrlProp36.xml><?xml version="1.0" encoding="utf-8"?>
<formControlPr xmlns="http://schemas.microsoft.com/office/spreadsheetml/2009/9/main" objectType="Drop" dropStyle="combo" dx="16" fmlaLink="B81" fmlaRange="Code!$AX$3:$AX$5" noThreeD="1" sel="2" val="0"/>
</file>

<file path=xl/ctrlProps/ctrlProp37.xml><?xml version="1.0" encoding="utf-8"?>
<formControlPr xmlns="http://schemas.microsoft.com/office/spreadsheetml/2009/9/main" objectType="Drop" dropStyle="combo" dx="16" fmlaLink="B79" fmlaRange="Code!$AR$3:$AR$5" noThreeD="1" sel="2" val="0"/>
</file>

<file path=xl/ctrlProps/ctrlProp38.xml><?xml version="1.0" encoding="utf-8"?>
<formControlPr xmlns="http://schemas.microsoft.com/office/spreadsheetml/2009/9/main" objectType="Drop" dropStyle="combo" dx="16" fmlaLink="B80" fmlaRange="Code!$AU$3:$AU$4" noThreeD="1" sel="0" val="0"/>
</file>

<file path=xl/ctrlProps/ctrlProp39.xml><?xml version="1.0" encoding="utf-8"?>
<formControlPr xmlns="http://schemas.microsoft.com/office/spreadsheetml/2009/9/main" objectType="Drop" dropStyle="combo" dx="16" fmlaLink="B82" fmlaRange="Code!$BA$3:$BA$5" noThreeD="1" sel="1" val="0"/>
</file>

<file path=xl/ctrlProps/ctrlProp40.xml><?xml version="1.0" encoding="utf-8"?>
<formControlPr xmlns="http://schemas.microsoft.com/office/spreadsheetml/2009/9/main" objectType="Drop" dropStyle="combo" dx="16" fmlaLink="B84" fmlaRange="Code!$BD$3:$BD$6" noThreeD="1" sel="3" val="0"/>
</file>

<file path=xl/ctrlProps/ctrlProp41.xml><?xml version="1.0" encoding="utf-8"?>
<formControlPr xmlns="http://schemas.microsoft.com/office/spreadsheetml/2009/9/main" objectType="Drop" dropStyle="combo" dx="16" fmlaLink="D84" fmlaRange="Code!$BD$3:$BD$6" noThreeD="1" sel="3" val="0"/>
</file>

<file path=xl/ctrlProps/ctrlProp42.xml><?xml version="1.0" encoding="utf-8"?>
<formControlPr xmlns="http://schemas.microsoft.com/office/spreadsheetml/2009/9/main" objectType="Drop" dropStyle="combo" dx="16" fmlaLink="B85" fmlaRange="Code!$BG$3:$BG$7" noThreeD="1" sel="1" val="0"/>
</file>

<file path=xl/ctrlProps/ctrlProp43.xml><?xml version="1.0" encoding="utf-8"?>
<formControlPr xmlns="http://schemas.microsoft.com/office/spreadsheetml/2009/9/main" objectType="Drop" dropStyle="combo" dx="16" fmlaLink="C92" fmlaRange="Code!$BJ$3:$BJ$4" noThreeD="1" sel="2" val="0"/>
</file>

<file path=xl/ctrlProps/ctrlProp44.xml><?xml version="1.0" encoding="utf-8"?>
<formControlPr xmlns="http://schemas.microsoft.com/office/spreadsheetml/2009/9/main" objectType="Drop" dropStyle="combo" dx="16" fmlaLink="D92" fmlaRange="Code!$BM$3:$BM$4" noThreeD="1" sel="1" val="0"/>
</file>

<file path=xl/ctrlProps/ctrlProp45.xml><?xml version="1.0" encoding="utf-8"?>
<formControlPr xmlns="http://schemas.microsoft.com/office/spreadsheetml/2009/9/main" objectType="Drop" dropStyle="combo" dx="16" fmlaLink="I92" fmlaRange="Code!$BP$3:$BP$4" noThreeD="1" sel="2" val="0"/>
</file>

<file path=xl/ctrlProps/ctrlProp46.xml><?xml version="1.0" encoding="utf-8"?>
<formControlPr xmlns="http://schemas.microsoft.com/office/spreadsheetml/2009/9/main" objectType="Drop" dropStyle="combo" dx="16" fmlaLink="C93" fmlaRange="Code!$BS$3:$BS$4" noThreeD="1" sel="1" val="0"/>
</file>

<file path=xl/ctrlProps/ctrlProp47.xml><?xml version="1.0" encoding="utf-8"?>
<formControlPr xmlns="http://schemas.microsoft.com/office/spreadsheetml/2009/9/main" objectType="Drop" dropStyle="combo" dx="16" fmlaLink="B95" fmlaRange="Code!$BV$3:$BV$5" noThreeD="1" sel="1" val="0"/>
</file>

<file path=xl/ctrlProps/ctrlProp48.xml><?xml version="1.0" encoding="utf-8"?>
<formControlPr xmlns="http://schemas.microsoft.com/office/spreadsheetml/2009/9/main" objectType="Drop" dropStyle="combo" dx="16" fmlaLink="B96" fmlaRange="Code!$BY$3:$BY$4" noThreeD="1" sel="2" val="0"/>
</file>

<file path=xl/ctrlProps/ctrlProp49.xml><?xml version="1.0" encoding="utf-8"?>
<formControlPr xmlns="http://schemas.microsoft.com/office/spreadsheetml/2009/9/main" objectType="Drop" dropStyle="combo" dx="16" fmlaLink="D13" fmlaRange="Code!$N$3:$N$5" noThreeD="1" sel="1" val="0"/>
</file>

<file path=xl/ctrlProps/ctrlProp50.xml><?xml version="1.0" encoding="utf-8"?>
<formControlPr xmlns="http://schemas.microsoft.com/office/spreadsheetml/2009/9/main" objectType="Drop" dropStyle="combo" dx="16" fmlaLink="B15" fmlaRange="Code!$Q$3:$Q$5" noThreeD="1" sel="2" val="0"/>
</file>

<file path=xl/ctrlProps/ctrlProp51.xml><?xml version="1.0" encoding="utf-8"?>
<formControlPr xmlns="http://schemas.microsoft.com/office/spreadsheetml/2009/9/main" objectType="Drop" dropStyle="combo" dx="16" fmlaLink="D15" fmlaRange="Code!$Q$3:$Q$7" noThreeD="1" sel="0" val="0"/>
</file>

<file path=xl/ctrlProps/ctrlProp52.xml><?xml version="1.0" encoding="utf-8"?>
<formControlPr xmlns="http://schemas.microsoft.com/office/spreadsheetml/2009/9/main" objectType="Drop" dropStyle="combo" dx="16" fmlaLink="F15" fmlaRange="Code!$W$3:$W$4" noThreeD="1" sel="0" val="0"/>
</file>

<file path=xl/ctrlProps/ctrlProp53.xml><?xml version="1.0" encoding="utf-8"?>
<formControlPr xmlns="http://schemas.microsoft.com/office/spreadsheetml/2009/9/main" objectType="Drop" dropStyle="combo" dx="16" fmlaLink="H15" fmlaRange="Code!$Q$3:$Q$7" noThreeD="1" sel="0" val="0"/>
</file>

<file path=xl/ctrlProps/ctrlProp54.xml><?xml version="1.0" encoding="utf-8"?>
<formControlPr xmlns="http://schemas.microsoft.com/office/spreadsheetml/2009/9/main" objectType="Drop" dropStyle="combo" dx="16" fmlaLink="B16" fmlaRange="Code!$T$3:$T$5" noThreeD="1" sel="1" val="0"/>
</file>

<file path=xl/ctrlProps/ctrlProp55.xml><?xml version="1.0" encoding="utf-8"?>
<formControlPr xmlns="http://schemas.microsoft.com/office/spreadsheetml/2009/9/main" objectType="Drop" dropStyle="combo" dx="16" fmlaLink="D16" fmlaRange="Code!$T$3:$T$5" noThreeD="1" sel="0" val="0"/>
</file>

<file path=xl/ctrlProps/ctrlProp56.xml><?xml version="1.0" encoding="utf-8"?>
<formControlPr xmlns="http://schemas.microsoft.com/office/spreadsheetml/2009/9/main" objectType="Drop" dropStyle="combo" dx="16" fmlaLink="F16" fmlaRange="Code!$Z$3:$Z$7" noThreeD="1" sel="0" val="0"/>
</file>

<file path=xl/ctrlProps/ctrlProp57.xml><?xml version="1.0" encoding="utf-8"?>
<formControlPr xmlns="http://schemas.microsoft.com/office/spreadsheetml/2009/9/main" objectType="Drop" dropStyle="combo" dx="16" fmlaLink="H16" fmlaRange="Code!$AC$3:$AC$5" noThreeD="1" sel="0" val="0"/>
</file>

<file path=xl/ctrlProps/ctrlProp58.xml><?xml version="1.0" encoding="utf-8"?>
<formControlPr xmlns="http://schemas.microsoft.com/office/spreadsheetml/2009/9/main" objectType="Drop" dropStyle="combo" dx="16" fmlaLink="B44" fmlaRange="Code!$CB$3:$CB$6" noThreeD="1" sel="0" val="0"/>
</file>

<file path=xl/ctrlProps/ctrlProp59.xml><?xml version="1.0" encoding="utf-8"?>
<formControlPr xmlns="http://schemas.microsoft.com/office/spreadsheetml/2009/9/main" objectType="Drop" dropStyle="combo" dx="16" fmlaLink="B74" fmlaRange="Code!$CE$3:$CE$6" noThreeD="1" sel="1" val="0"/>
</file>

<file path=xl/ctrlProps/ctrlProp60.xml><?xml version="1.0" encoding="utf-8"?>
<formControlPr xmlns="http://schemas.microsoft.com/office/spreadsheetml/2009/9/main" objectType="Drop" dropStyle="combo" dx="16" fmlaLink="C28" fmlaRange="Code!$CH$3:$CH$4" noThreeD="1" sel="1" val="0"/>
</file>

<file path=xl/ctrlProps/ctrlProp61.xml><?xml version="1.0" encoding="utf-8"?>
<formControlPr xmlns="http://schemas.microsoft.com/office/spreadsheetml/2009/9/main" objectType="CheckBox" fmlaLink="G23" lockText="1" noThreeD="1"/>
</file>

<file path=xl/ctrlProps/ctrlProp62.xml><?xml version="1.0" encoding="utf-8"?>
<formControlPr xmlns="http://schemas.microsoft.com/office/spreadsheetml/2009/9/main" objectType="Drop" dropStyle="combo" dx="16" fmlaLink="B37" fmlaRange="Code!$K$3:$K$5" noThreeD="1" sel="0" val="0"/>
</file>

<file path=xl/ctrlProps/ctrlProp63.xml><?xml version="1.0" encoding="utf-8"?>
<formControlPr xmlns="http://schemas.microsoft.com/office/spreadsheetml/2009/9/main" objectType="CheckBox" fmlaLink="E92" lockText="1" noThreeD="1"/>
</file>

<file path=xl/ctrlProps/ctrlProp64.xml><?xml version="1.0" encoding="utf-8"?>
<formControlPr xmlns="http://schemas.microsoft.com/office/spreadsheetml/2009/9/main" objectType="Drop" dropStyle="combo" dx="16" fmlaLink="G92" fmlaRange="Code!$CN$3:$CN$5" noThreeD="1" sel="1" val="0"/>
</file>

<file path=xl/ctrlProps/ctrlProp65.xml><?xml version="1.0" encoding="utf-8"?>
<formControlPr xmlns="http://schemas.microsoft.com/office/spreadsheetml/2009/9/main" objectType="Drop" dropStyle="combo" dx="16" fmlaLink="D12" fmlaRange="Code!$CB$3:$CB$6" noThreeD="1" sel="1" val="0"/>
</file>

<file path=xl/ctrlProps/ctrlProp66.xml><?xml version="1.0" encoding="utf-8"?>
<formControlPr xmlns="http://schemas.microsoft.com/office/spreadsheetml/2009/9/main" objectType="Drop" dropStyle="combo" dx="16" fmlaLink="C23" fmlaRange="Code!$CQ$3:$CQ$6" noThreeD="1" sel="2" val="0"/>
</file>

<file path=xl/ctrlProps/ctrlProp67.xml><?xml version="1.0" encoding="utf-8"?>
<formControlPr xmlns="http://schemas.microsoft.com/office/spreadsheetml/2009/9/main" objectType="Drop" dropLines="20" dropStyle="combo" dx="16" fmlaLink="G4" fmlaRange="Code!$CT$3:$CT$4" noThreeD="1" sel="1" val="0"/>
</file>

<file path=xl/ctrlProps/ctrlProp68.xml><?xml version="1.0" encoding="utf-8"?>
<formControlPr xmlns="http://schemas.microsoft.com/office/spreadsheetml/2009/9/main" objectType="Drop" dropStyle="combo" dx="16" fmlaLink="D26" fmlaRange="Code!$CB$3:$CB$6" noThreeD="1" sel="2" val="0"/>
</file>

<file path=xl/ctrlProps/ctrlProp69.xml><?xml version="1.0" encoding="utf-8"?>
<formControlPr xmlns="http://schemas.microsoft.com/office/spreadsheetml/2009/9/main" objectType="CheckBox" fmlaLink="C30" lockText="1" noThreeD="1"/>
</file>

<file path=xl/ctrlProps/ctrlProp70.xml><?xml version="1.0" encoding="utf-8"?>
<formControlPr xmlns="http://schemas.microsoft.com/office/spreadsheetml/2009/9/main" objectType="Drop" dropStyle="combo" dx="16" fmlaLink="J100" fmlaRange="Code!$CW$3:$CW$4" noThreeD="1" sel="1" val="0"/>
</file>

<file path=xl/ctrlProps/ctrlProp71.xml><?xml version="1.0" encoding="utf-8"?>
<formControlPr xmlns="http://schemas.microsoft.com/office/spreadsheetml/2009/9/main" objectType="Drop" dropStyle="combo" dx="16" fmlaLink="A106" fmlaRange="Code!$CK$3:$CK$5" noThreeD="1" sel="2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0</xdr:row>
      <xdr:rowOff>28574</xdr:rowOff>
    </xdr:from>
    <xdr:to>
      <xdr:col>10</xdr:col>
      <xdr:colOff>876300</xdr:colOff>
      <xdr:row>0</xdr:row>
      <xdr:rowOff>295275</xdr:rowOff>
    </xdr:to>
    <xdr:sp macro="[0]!SavePolicy" textlink="">
      <xdr:nvSpPr>
        <xdr:cNvPr id="3" name="按鈕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77300" y="28574"/>
          <a:ext cx="857250" cy="266701"/>
        </a:xfrm>
        <a:prstGeom prst="bevel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TW" altLang="en-US" sz="1200" b="1">
              <a:solidFill>
                <a:srgbClr val="0070C0"/>
              </a:solidFill>
              <a:latin typeface="標楷體" pitchFamily="65" charset="-120"/>
              <a:ea typeface="標楷體" pitchFamily="65" charset="-120"/>
            </a:rPr>
            <a:t>儲存</a:t>
          </a:r>
        </a:p>
      </xdr:txBody>
    </xdr:sp>
    <xdr:clientData/>
  </xdr:twoCellAnchor>
  <xdr:twoCellAnchor>
    <xdr:from>
      <xdr:col>10</xdr:col>
      <xdr:colOff>19050</xdr:colOff>
      <xdr:row>1</xdr:row>
      <xdr:rowOff>19050</xdr:rowOff>
    </xdr:from>
    <xdr:to>
      <xdr:col>10</xdr:col>
      <xdr:colOff>876300</xdr:colOff>
      <xdr:row>1</xdr:row>
      <xdr:rowOff>285751</xdr:rowOff>
    </xdr:to>
    <xdr:sp macro="[0]!LoadPolicy" textlink="">
      <xdr:nvSpPr>
        <xdr:cNvPr id="5" name="按鈕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877300" y="342900"/>
          <a:ext cx="857250" cy="266701"/>
        </a:xfrm>
        <a:prstGeom prst="bevel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TW" altLang="en-US" sz="1200" b="1">
              <a:solidFill>
                <a:srgbClr val="0070C0"/>
              </a:solidFill>
              <a:latin typeface="標楷體" pitchFamily="65" charset="-120"/>
              <a:ea typeface="標楷體" pitchFamily="65" charset="-120"/>
            </a:rPr>
            <a:t>載入</a:t>
          </a:r>
        </a:p>
      </xdr:txBody>
    </xdr:sp>
    <xdr:clientData/>
  </xdr:twoCellAnchor>
  <xdr:twoCellAnchor>
    <xdr:from>
      <xdr:col>3</xdr:col>
      <xdr:colOff>28575</xdr:colOff>
      <xdr:row>96</xdr:row>
      <xdr:rowOff>180976</xdr:rowOff>
    </xdr:from>
    <xdr:to>
      <xdr:col>3</xdr:col>
      <xdr:colOff>866775</xdr:colOff>
      <xdr:row>97</xdr:row>
      <xdr:rowOff>219075</xdr:rowOff>
    </xdr:to>
    <xdr:sp macro="" textlink="">
      <xdr:nvSpPr>
        <xdr:cNvPr id="6" name="圓角矩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800225" y="17554576"/>
          <a:ext cx="838200" cy="228599"/>
        </a:xfrm>
        <a:prstGeom prst="roundRect">
          <a:avLst/>
        </a:prstGeom>
        <a:effectLst>
          <a:glow rad="101600">
            <a:schemeClr val="accent3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TW" altLang="en-US" sz="1000">
              <a:latin typeface="+mj-ea"/>
              <a:ea typeface="+mj-ea"/>
            </a:rPr>
            <a:t>表格重置</a:t>
          </a:r>
        </a:p>
      </xdr:txBody>
    </xdr:sp>
    <xdr:clientData/>
  </xdr:twoCellAnchor>
  <xdr:twoCellAnchor>
    <xdr:from>
      <xdr:col>1</xdr:col>
      <xdr:colOff>323851</xdr:colOff>
      <xdr:row>28</xdr:row>
      <xdr:rowOff>180976</xdr:rowOff>
    </xdr:from>
    <xdr:to>
      <xdr:col>1</xdr:col>
      <xdr:colOff>866775</xdr:colOff>
      <xdr:row>29</xdr:row>
      <xdr:rowOff>180975</xdr:rowOff>
    </xdr:to>
    <xdr:sp macro="[0]!Sheet2.ExpNo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209676" y="5953126"/>
          <a:ext cx="542924" cy="190499"/>
        </a:xfrm>
        <a:prstGeom prst="rect">
          <a:avLst/>
        </a:prstGeom>
        <a:effectLst>
          <a:glow rad="63500">
            <a:schemeClr val="accent4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TW" altLang="en-US" sz="1100">
              <a:latin typeface="標楷體" pitchFamily="65" charset="-120"/>
              <a:ea typeface="標楷體" pitchFamily="65" charset="-120"/>
            </a:rPr>
            <a:t>無</a:t>
          </a:r>
        </a:p>
      </xdr:txBody>
    </xdr:sp>
    <xdr:clientData/>
  </xdr:twoCellAnchor>
  <xdr:twoCellAnchor>
    <xdr:from>
      <xdr:col>8</xdr:col>
      <xdr:colOff>28575</xdr:colOff>
      <xdr:row>1</xdr:row>
      <xdr:rowOff>38101</xdr:rowOff>
    </xdr:from>
    <xdr:to>
      <xdr:col>9</xdr:col>
      <xdr:colOff>876300</xdr:colOff>
      <xdr:row>1</xdr:row>
      <xdr:rowOff>285751</xdr:rowOff>
    </xdr:to>
    <xdr:sp macro="[0]!RunPrincing" textlink="">
      <xdr:nvSpPr>
        <xdr:cNvPr id="2" name="圓角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15175" y="361951"/>
          <a:ext cx="1733550" cy="2476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TW" altLang="en-US" sz="1200" b="1">
              <a:solidFill>
                <a:srgbClr val="FFFF00"/>
              </a:solidFill>
              <a:latin typeface="標楷體" pitchFamily="65" charset="-120"/>
              <a:ea typeface="標楷體" pitchFamily="65" charset="-120"/>
            </a:rPr>
            <a:t>執行精算程式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9525</xdr:rowOff>
        </xdr:from>
        <xdr:to>
          <xdr:col>2</xdr:col>
          <xdr:colOff>876300</xdr:colOff>
          <xdr:row>4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9525</xdr:rowOff>
        </xdr:from>
        <xdr:to>
          <xdr:col>5</xdr:col>
          <xdr:colOff>28575</xdr:colOff>
          <xdr:row>4</xdr:row>
          <xdr:rowOff>9525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152400</xdr:colOff>
          <xdr:row>11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152400</xdr:colOff>
          <xdr:row>12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0</xdr:rowOff>
        </xdr:from>
        <xdr:to>
          <xdr:col>1</xdr:col>
          <xdr:colOff>419100</xdr:colOff>
          <xdr:row>24</xdr:row>
          <xdr:rowOff>19050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1. 當年度保額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0</xdr:rowOff>
        </xdr:from>
        <xdr:to>
          <xdr:col>1</xdr:col>
          <xdr:colOff>419100</xdr:colOff>
          <xdr:row>25</xdr:row>
          <xdr:rowOff>19050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2. 年繳保費總和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25</xdr:row>
          <xdr:rowOff>0</xdr:rowOff>
        </xdr:from>
        <xdr:to>
          <xdr:col>1</xdr:col>
          <xdr:colOff>419100</xdr:colOff>
          <xdr:row>26</xdr:row>
          <xdr:rowOff>19050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3. 保單價值準備金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0</xdr:rowOff>
        </xdr:from>
        <xdr:to>
          <xdr:col>4</xdr:col>
          <xdr:colOff>419100</xdr:colOff>
          <xdr:row>25</xdr:row>
          <xdr:rowOff>19050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扣除已領生存金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25</xdr:row>
          <xdr:rowOff>19050</xdr:rowOff>
        </xdr:from>
        <xdr:to>
          <xdr:col>2</xdr:col>
          <xdr:colOff>76200</xdr:colOff>
          <xdr:row>26</xdr:row>
          <xdr:rowOff>19050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9525</xdr:rowOff>
        </xdr:from>
        <xdr:to>
          <xdr:col>4</xdr:col>
          <xdr:colOff>257175</xdr:colOff>
          <xdr:row>23</xdr:row>
          <xdr:rowOff>9525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9525</xdr:rowOff>
        </xdr:from>
        <xdr:to>
          <xdr:col>2</xdr:col>
          <xdr:colOff>0</xdr:colOff>
          <xdr:row>33</xdr:row>
          <xdr:rowOff>9525</xdr:rowOff>
        </xdr:to>
        <xdr:sp macro="" textlink="">
          <xdr:nvSpPr>
            <xdr:cNvPr id="1068" name="Drop Dow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2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9525</xdr:rowOff>
        </xdr:from>
        <xdr:to>
          <xdr:col>3</xdr:col>
          <xdr:colOff>0</xdr:colOff>
          <xdr:row>33</xdr:row>
          <xdr:rowOff>9525</xdr:rowOff>
        </xdr:to>
        <xdr:sp macro="" textlink="">
          <xdr:nvSpPr>
            <xdr:cNvPr id="1069" name="Drop Dow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9525</xdr:rowOff>
        </xdr:from>
        <xdr:to>
          <xdr:col>4</xdr:col>
          <xdr:colOff>0</xdr:colOff>
          <xdr:row>33</xdr:row>
          <xdr:rowOff>9525</xdr:rowOff>
        </xdr:to>
        <xdr:sp macro="" textlink="">
          <xdr:nvSpPr>
            <xdr:cNvPr id="1070" name="Drop Dow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32</xdr:row>
          <xdr:rowOff>9525</xdr:rowOff>
        </xdr:from>
        <xdr:to>
          <xdr:col>5</xdr:col>
          <xdr:colOff>0</xdr:colOff>
          <xdr:row>33</xdr:row>
          <xdr:rowOff>9525</xdr:rowOff>
        </xdr:to>
        <xdr:sp macro="" textlink="">
          <xdr:nvSpPr>
            <xdr:cNvPr id="1071" name="Drop Dow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0</xdr:colOff>
          <xdr:row>33</xdr:row>
          <xdr:rowOff>9525</xdr:rowOff>
        </xdr:to>
        <xdr:sp macro="" textlink="">
          <xdr:nvSpPr>
            <xdr:cNvPr id="1072" name="Drop Dow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32</xdr:row>
          <xdr:rowOff>9525</xdr:rowOff>
        </xdr:from>
        <xdr:to>
          <xdr:col>7</xdr:col>
          <xdr:colOff>0</xdr:colOff>
          <xdr:row>33</xdr:row>
          <xdr:rowOff>9525</xdr:rowOff>
        </xdr:to>
        <xdr:sp macro="" textlink="">
          <xdr:nvSpPr>
            <xdr:cNvPr id="1073" name="Drop Dow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2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2</xdr:col>
          <xdr:colOff>0</xdr:colOff>
          <xdr:row>32</xdr:row>
          <xdr:rowOff>9525</xdr:rowOff>
        </xdr:to>
        <xdr:sp macro="" textlink="">
          <xdr:nvSpPr>
            <xdr:cNvPr id="1074" name="Drop Dow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3</xdr:col>
          <xdr:colOff>0</xdr:colOff>
          <xdr:row>32</xdr:row>
          <xdr:rowOff>9525</xdr:rowOff>
        </xdr:to>
        <xdr:sp macro="" textlink="">
          <xdr:nvSpPr>
            <xdr:cNvPr id="1075" name="Drop Dow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4</xdr:col>
          <xdr:colOff>0</xdr:colOff>
          <xdr:row>32</xdr:row>
          <xdr:rowOff>9525</xdr:rowOff>
        </xdr:to>
        <xdr:sp macro="" textlink="">
          <xdr:nvSpPr>
            <xdr:cNvPr id="1076" name="Drop Dow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31</xdr:row>
          <xdr:rowOff>19050</xdr:rowOff>
        </xdr:from>
        <xdr:to>
          <xdr:col>5</xdr:col>
          <xdr:colOff>0</xdr:colOff>
          <xdr:row>32</xdr:row>
          <xdr:rowOff>9525</xdr:rowOff>
        </xdr:to>
        <xdr:sp macro="" textlink="">
          <xdr:nvSpPr>
            <xdr:cNvPr id="1077" name="Drop Dow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2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31</xdr:row>
          <xdr:rowOff>19050</xdr:rowOff>
        </xdr:from>
        <xdr:to>
          <xdr:col>6</xdr:col>
          <xdr:colOff>0</xdr:colOff>
          <xdr:row>32</xdr:row>
          <xdr:rowOff>9525</xdr:rowOff>
        </xdr:to>
        <xdr:sp macro="" textlink="">
          <xdr:nvSpPr>
            <xdr:cNvPr id="1078" name="Drop Dow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2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31</xdr:row>
          <xdr:rowOff>19050</xdr:rowOff>
        </xdr:from>
        <xdr:to>
          <xdr:col>7</xdr:col>
          <xdr:colOff>0</xdr:colOff>
          <xdr:row>32</xdr:row>
          <xdr:rowOff>9525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0</xdr:colOff>
          <xdr:row>33</xdr:row>
          <xdr:rowOff>9525</xdr:rowOff>
        </xdr:to>
        <xdr:sp macro="" textlink="">
          <xdr:nvSpPr>
            <xdr:cNvPr id="1080" name="Drop Dow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2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32</xdr:row>
          <xdr:rowOff>9525</xdr:rowOff>
        </xdr:from>
        <xdr:to>
          <xdr:col>9</xdr:col>
          <xdr:colOff>0</xdr:colOff>
          <xdr:row>33</xdr:row>
          <xdr:rowOff>9525</xdr:rowOff>
        </xdr:to>
        <xdr:sp macro="" textlink="">
          <xdr:nvSpPr>
            <xdr:cNvPr id="1081" name="Drop Dow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2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9525</xdr:rowOff>
        </xdr:from>
        <xdr:to>
          <xdr:col>10</xdr:col>
          <xdr:colOff>0</xdr:colOff>
          <xdr:row>33</xdr:row>
          <xdr:rowOff>9525</xdr:rowOff>
        </xdr:to>
        <xdr:sp macro="" textlink="">
          <xdr:nvSpPr>
            <xdr:cNvPr id="1082" name="Drop Dow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2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31</xdr:row>
          <xdr:rowOff>19050</xdr:rowOff>
        </xdr:from>
        <xdr:to>
          <xdr:col>8</xdr:col>
          <xdr:colOff>0</xdr:colOff>
          <xdr:row>32</xdr:row>
          <xdr:rowOff>9525</xdr:rowOff>
        </xdr:to>
        <xdr:sp macro="" textlink="">
          <xdr:nvSpPr>
            <xdr:cNvPr id="1083" name="Drop Dow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2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31</xdr:row>
          <xdr:rowOff>19050</xdr:rowOff>
        </xdr:from>
        <xdr:to>
          <xdr:col>9</xdr:col>
          <xdr:colOff>0</xdr:colOff>
          <xdr:row>32</xdr:row>
          <xdr:rowOff>9525</xdr:rowOff>
        </xdr:to>
        <xdr:sp macro="" textlink="">
          <xdr:nvSpPr>
            <xdr:cNvPr id="1084" name="Drop Dow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2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19050</xdr:rowOff>
        </xdr:from>
        <xdr:to>
          <xdr:col>10</xdr:col>
          <xdr:colOff>0</xdr:colOff>
          <xdr:row>32</xdr:row>
          <xdr:rowOff>9525</xdr:rowOff>
        </xdr:to>
        <xdr:sp macro="" textlink="">
          <xdr:nvSpPr>
            <xdr:cNvPr id="1085" name="Drop Dow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2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2</xdr:col>
          <xdr:colOff>0</xdr:colOff>
          <xdr:row>40</xdr:row>
          <xdr:rowOff>9525</xdr:rowOff>
        </xdr:to>
        <xdr:sp macro="" textlink="">
          <xdr:nvSpPr>
            <xdr:cNvPr id="1086" name="Drop Dow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2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9525</xdr:rowOff>
        </xdr:from>
        <xdr:to>
          <xdr:col>2</xdr:col>
          <xdr:colOff>0</xdr:colOff>
          <xdr:row>41</xdr:row>
          <xdr:rowOff>9525</xdr:rowOff>
        </xdr:to>
        <xdr:sp macro="" textlink="">
          <xdr:nvSpPr>
            <xdr:cNvPr id="1087" name="Drop Dow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2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37</xdr:row>
          <xdr:rowOff>9525</xdr:rowOff>
        </xdr:from>
        <xdr:to>
          <xdr:col>1</xdr:col>
          <xdr:colOff>495300</xdr:colOff>
          <xdr:row>38</xdr:row>
          <xdr:rowOff>0</xdr:rowOff>
        </xdr:to>
        <xdr:sp macro="" textlink="">
          <xdr:nvSpPr>
            <xdr:cNvPr id="1088" name="Drop Dow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2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2</xdr:col>
          <xdr:colOff>847725</xdr:colOff>
          <xdr:row>47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2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依性別區分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9525</xdr:rowOff>
        </xdr:from>
        <xdr:to>
          <xdr:col>3</xdr:col>
          <xdr:colOff>847725</xdr:colOff>
          <xdr:row>47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2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有特別期間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9525</xdr:rowOff>
        </xdr:from>
        <xdr:to>
          <xdr:col>1</xdr:col>
          <xdr:colOff>876300</xdr:colOff>
          <xdr:row>28</xdr:row>
          <xdr:rowOff>28575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2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兒童無身故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67</xdr:row>
          <xdr:rowOff>0</xdr:rowOff>
        </xdr:from>
        <xdr:to>
          <xdr:col>3</xdr:col>
          <xdr:colOff>0</xdr:colOff>
          <xdr:row>68</xdr:row>
          <xdr:rowOff>0</xdr:rowOff>
        </xdr:to>
        <xdr:sp macro="" textlink="">
          <xdr:nvSpPr>
            <xdr:cNvPr id="1092" name="Drop Dow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2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80</xdr:row>
          <xdr:rowOff>0</xdr:rowOff>
        </xdr:from>
        <xdr:to>
          <xdr:col>2</xdr:col>
          <xdr:colOff>552450</xdr:colOff>
          <xdr:row>81</xdr:row>
          <xdr:rowOff>0</xdr:rowOff>
        </xdr:to>
        <xdr:sp macro="" textlink="">
          <xdr:nvSpPr>
            <xdr:cNvPr id="1095" name="Drop Dow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2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78</xdr:row>
          <xdr:rowOff>0</xdr:rowOff>
        </xdr:from>
        <xdr:to>
          <xdr:col>2</xdr:col>
          <xdr:colOff>552450</xdr:colOff>
          <xdr:row>79</xdr:row>
          <xdr:rowOff>0</xdr:rowOff>
        </xdr:to>
        <xdr:sp macro="" textlink="">
          <xdr:nvSpPr>
            <xdr:cNvPr id="1096" name="Drop Dow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2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79</xdr:row>
          <xdr:rowOff>0</xdr:rowOff>
        </xdr:from>
        <xdr:to>
          <xdr:col>2</xdr:col>
          <xdr:colOff>552450</xdr:colOff>
          <xdr:row>80</xdr:row>
          <xdr:rowOff>0</xdr:rowOff>
        </xdr:to>
        <xdr:sp macro="" textlink="">
          <xdr:nvSpPr>
            <xdr:cNvPr id="1097" name="Drop Dow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2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81</xdr:row>
          <xdr:rowOff>0</xdr:rowOff>
        </xdr:from>
        <xdr:to>
          <xdr:col>2</xdr:col>
          <xdr:colOff>552450</xdr:colOff>
          <xdr:row>82</xdr:row>
          <xdr:rowOff>0</xdr:rowOff>
        </xdr:to>
        <xdr:sp macro="" textlink="">
          <xdr:nvSpPr>
            <xdr:cNvPr id="1098" name="Drop Dow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2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83</xdr:row>
          <xdr:rowOff>0</xdr:rowOff>
        </xdr:from>
        <xdr:to>
          <xdr:col>2</xdr:col>
          <xdr:colOff>0</xdr:colOff>
          <xdr:row>84</xdr:row>
          <xdr:rowOff>0</xdr:rowOff>
        </xdr:to>
        <xdr:sp macro="" textlink="">
          <xdr:nvSpPr>
            <xdr:cNvPr id="1100" name="Drop Dow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2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1101" name="Drop Dow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2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84</xdr:row>
          <xdr:rowOff>0</xdr:rowOff>
        </xdr:from>
        <xdr:to>
          <xdr:col>2</xdr:col>
          <xdr:colOff>0</xdr:colOff>
          <xdr:row>85</xdr:row>
          <xdr:rowOff>0</xdr:rowOff>
        </xdr:to>
        <xdr:sp macro="" textlink="">
          <xdr:nvSpPr>
            <xdr:cNvPr id="1102" name="Drop Dow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2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91</xdr:row>
          <xdr:rowOff>0</xdr:rowOff>
        </xdr:from>
        <xdr:to>
          <xdr:col>3</xdr:col>
          <xdr:colOff>152400</xdr:colOff>
          <xdr:row>92</xdr:row>
          <xdr:rowOff>0</xdr:rowOff>
        </xdr:to>
        <xdr:sp macro="" textlink="">
          <xdr:nvSpPr>
            <xdr:cNvPr id="1104" name="Drop Dow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2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91</xdr:row>
          <xdr:rowOff>0</xdr:rowOff>
        </xdr:from>
        <xdr:to>
          <xdr:col>4</xdr:col>
          <xdr:colOff>47625</xdr:colOff>
          <xdr:row>92</xdr:row>
          <xdr:rowOff>0</xdr:rowOff>
        </xdr:to>
        <xdr:sp macro="" textlink="">
          <xdr:nvSpPr>
            <xdr:cNvPr id="1105" name="Drop Dow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2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91</xdr:row>
          <xdr:rowOff>0</xdr:rowOff>
        </xdr:from>
        <xdr:to>
          <xdr:col>9</xdr:col>
          <xdr:colOff>0</xdr:colOff>
          <xdr:row>92</xdr:row>
          <xdr:rowOff>0</xdr:rowOff>
        </xdr:to>
        <xdr:sp macro="" textlink="">
          <xdr:nvSpPr>
            <xdr:cNvPr id="1107" name="Drop Dow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2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92</xdr:row>
          <xdr:rowOff>0</xdr:rowOff>
        </xdr:from>
        <xdr:to>
          <xdr:col>4</xdr:col>
          <xdr:colOff>47625</xdr:colOff>
          <xdr:row>93</xdr:row>
          <xdr:rowOff>0</xdr:rowOff>
        </xdr:to>
        <xdr:sp macro="" textlink="">
          <xdr:nvSpPr>
            <xdr:cNvPr id="1108" name="Drop Dow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2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94</xdr:row>
          <xdr:rowOff>0</xdr:rowOff>
        </xdr:from>
        <xdr:to>
          <xdr:col>2</xdr:col>
          <xdr:colOff>0</xdr:colOff>
          <xdr:row>95</xdr:row>
          <xdr:rowOff>0</xdr:rowOff>
        </xdr:to>
        <xdr:sp macro="" textlink="">
          <xdr:nvSpPr>
            <xdr:cNvPr id="1109" name="Drop Dow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2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95</xdr:row>
          <xdr:rowOff>0</xdr:rowOff>
        </xdr:from>
        <xdr:to>
          <xdr:col>2</xdr:col>
          <xdr:colOff>0</xdr:colOff>
          <xdr:row>96</xdr:row>
          <xdr:rowOff>0</xdr:rowOff>
        </xdr:to>
        <xdr:sp macro="" textlink="">
          <xdr:nvSpPr>
            <xdr:cNvPr id="1110" name="Drop Dow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2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12</xdr:row>
          <xdr:rowOff>0</xdr:rowOff>
        </xdr:from>
        <xdr:to>
          <xdr:col>4</xdr:col>
          <xdr:colOff>9525</xdr:colOff>
          <xdr:row>13</xdr:row>
          <xdr:rowOff>0</xdr:rowOff>
        </xdr:to>
        <xdr:sp macro="" textlink="">
          <xdr:nvSpPr>
            <xdr:cNvPr id="1121" name="Drop Dow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2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1122" name="Drop Dow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2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1123" name="Drop Dow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2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6</xdr:col>
          <xdr:colOff>0</xdr:colOff>
          <xdr:row>15</xdr:row>
          <xdr:rowOff>9525</xdr:rowOff>
        </xdr:to>
        <xdr:sp macro="" textlink="">
          <xdr:nvSpPr>
            <xdr:cNvPr id="1124" name="Drop Dow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2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0</xdr:colOff>
          <xdr:row>15</xdr:row>
          <xdr:rowOff>9525</xdr:rowOff>
        </xdr:to>
        <xdr:sp macro="" textlink="">
          <xdr:nvSpPr>
            <xdr:cNvPr id="1125" name="Drop Dow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2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9525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126" name="Drop Dow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2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15</xdr:row>
          <xdr:rowOff>9525</xdr:rowOff>
        </xdr:from>
        <xdr:to>
          <xdr:col>4</xdr:col>
          <xdr:colOff>0</xdr:colOff>
          <xdr:row>16</xdr:row>
          <xdr:rowOff>9525</xdr:rowOff>
        </xdr:to>
        <xdr:sp macro="" textlink="">
          <xdr:nvSpPr>
            <xdr:cNvPr id="1127" name="Drop Dow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2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9525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128" name="Drop Dow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2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9525</xdr:rowOff>
        </xdr:from>
        <xdr:to>
          <xdr:col>8</xdr:col>
          <xdr:colOff>0</xdr:colOff>
          <xdr:row>16</xdr:row>
          <xdr:rowOff>9525</xdr:rowOff>
        </xdr:to>
        <xdr:sp macro="" textlink="">
          <xdr:nvSpPr>
            <xdr:cNvPr id="1129" name="Drop Dow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2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130" name="Drop Dow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2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1131" name="Drop Dow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2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9525</xdr:rowOff>
        </xdr:from>
        <xdr:to>
          <xdr:col>3</xdr:col>
          <xdr:colOff>0</xdr:colOff>
          <xdr:row>28</xdr:row>
          <xdr:rowOff>9525</xdr:rowOff>
        </xdr:to>
        <xdr:sp macro="" textlink="">
          <xdr:nvSpPr>
            <xdr:cNvPr id="1132" name="Drop Dow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2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0</xdr:rowOff>
        </xdr:from>
        <xdr:to>
          <xdr:col>7</xdr:col>
          <xdr:colOff>419100</xdr:colOff>
          <xdr:row>23</xdr:row>
          <xdr:rowOff>19050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2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並退還未到期保費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152400</xdr:colOff>
          <xdr:row>37</xdr:row>
          <xdr:rowOff>0</xdr:rowOff>
        </xdr:to>
        <xdr:sp macro="" textlink="">
          <xdr:nvSpPr>
            <xdr:cNvPr id="1139" name="Drop Dow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2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90</xdr:row>
          <xdr:rowOff>180975</xdr:rowOff>
        </xdr:from>
        <xdr:to>
          <xdr:col>5</xdr:col>
          <xdr:colOff>38100</xdr:colOff>
          <xdr:row>92</xdr:row>
          <xdr:rowOff>19050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2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展生存年金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0</xdr:rowOff>
        </xdr:from>
        <xdr:to>
          <xdr:col>7</xdr:col>
          <xdr:colOff>581025</xdr:colOff>
          <xdr:row>92</xdr:row>
          <xdr:rowOff>0</xdr:rowOff>
        </xdr:to>
        <xdr:sp macro="" textlink="">
          <xdr:nvSpPr>
            <xdr:cNvPr id="1152" name="Drop Dow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2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153" name="Drop Dow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2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22</xdr:row>
          <xdr:rowOff>9525</xdr:rowOff>
        </xdr:from>
        <xdr:to>
          <xdr:col>3</xdr:col>
          <xdr:colOff>0</xdr:colOff>
          <xdr:row>23</xdr:row>
          <xdr:rowOff>9525</xdr:rowOff>
        </xdr:to>
        <xdr:sp macro="" textlink="">
          <xdr:nvSpPr>
            <xdr:cNvPr id="1155" name="Drop Dow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2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</xdr:row>
          <xdr:rowOff>9525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1167" name="Drop Dow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2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19050</xdr:rowOff>
        </xdr:from>
        <xdr:to>
          <xdr:col>3</xdr:col>
          <xdr:colOff>876300</xdr:colOff>
          <xdr:row>26</xdr:row>
          <xdr:rowOff>19050</xdr:rowOff>
        </xdr:to>
        <xdr:sp macro="" textlink="">
          <xdr:nvSpPr>
            <xdr:cNvPr id="1169" name="Drop Dow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2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171450</xdr:rowOff>
        </xdr:from>
        <xdr:to>
          <xdr:col>5</xdr:col>
          <xdr:colOff>57150</xdr:colOff>
          <xdr:row>30</xdr:row>
          <xdr:rowOff>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2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190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保障結束時，祝壽金需同步考慮身故取大值問題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98</xdr:row>
          <xdr:rowOff>180975</xdr:rowOff>
        </xdr:from>
        <xdr:to>
          <xdr:col>10</xdr:col>
          <xdr:colOff>0</xdr:colOff>
          <xdr:row>99</xdr:row>
          <xdr:rowOff>190500</xdr:rowOff>
        </xdr:to>
        <xdr:sp macro="" textlink="">
          <xdr:nvSpPr>
            <xdr:cNvPr id="1177" name="Drop Dow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2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0</xdr:rowOff>
        </xdr:from>
        <xdr:to>
          <xdr:col>1</xdr:col>
          <xdr:colOff>0</xdr:colOff>
          <xdr:row>105</xdr:row>
          <xdr:rowOff>190500</xdr:rowOff>
        </xdr:to>
        <xdr:sp macro="" textlink="">
          <xdr:nvSpPr>
            <xdr:cNvPr id="1178" name="Drop Dow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2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"/>
  <dimension ref="A1:CW14"/>
  <sheetViews>
    <sheetView showGridLines="0" workbookViewId="0">
      <selection activeCell="CK12" sqref="CK12"/>
    </sheetView>
  </sheetViews>
  <sheetFormatPr defaultRowHeight="15" x14ac:dyDescent="0.25"/>
  <cols>
    <col min="1" max="1" width="3.875" style="101" customWidth="1"/>
    <col min="2" max="2" width="20.5" style="101" bestFit="1" customWidth="1"/>
    <col min="3" max="3" width="2.625" style="101" customWidth="1"/>
    <col min="4" max="4" width="3.875" style="101" customWidth="1"/>
    <col min="5" max="5" width="7.375" style="101" customWidth="1"/>
    <col min="6" max="6" width="2.625" style="101" customWidth="1"/>
    <col min="7" max="7" width="3.875" style="101" customWidth="1"/>
    <col min="8" max="8" width="7.375" style="101" customWidth="1"/>
    <col min="9" max="9" width="2.625" style="101" customWidth="1"/>
    <col min="10" max="10" width="3.875" style="101" customWidth="1"/>
    <col min="11" max="11" width="12.875" style="101" bestFit="1" customWidth="1"/>
    <col min="12" max="12" width="2.625" style="101" customWidth="1"/>
    <col min="13" max="13" width="3.875" style="101" customWidth="1"/>
    <col min="14" max="14" width="8.5" style="101" bestFit="1" customWidth="1"/>
    <col min="15" max="15" width="2.625" style="101" customWidth="1"/>
    <col min="16" max="16" width="3.875" style="101" customWidth="1"/>
    <col min="17" max="17" width="8.5" style="101" bestFit="1" customWidth="1"/>
    <col min="18" max="18" width="2.625" style="101" customWidth="1"/>
    <col min="19" max="19" width="3.875" style="101" customWidth="1"/>
    <col min="20" max="20" width="8.5" style="101" bestFit="1" customWidth="1"/>
    <col min="21" max="21" width="2.625" style="101" customWidth="1"/>
    <col min="22" max="22" width="3.875" style="101" customWidth="1"/>
    <col min="23" max="23" width="8.5" style="101" bestFit="1" customWidth="1"/>
    <col min="24" max="24" width="2.625" style="101" customWidth="1"/>
    <col min="25" max="25" width="3.875" style="101" customWidth="1"/>
    <col min="26" max="26" width="8.5" style="101" bestFit="1" customWidth="1"/>
    <col min="27" max="27" width="2.625" style="101" customWidth="1"/>
    <col min="28" max="28" width="3.875" style="101" customWidth="1"/>
    <col min="29" max="29" width="8.5" style="101" bestFit="1" customWidth="1"/>
    <col min="30" max="30" width="2.625" style="101" customWidth="1"/>
    <col min="31" max="31" width="3.875" style="101" customWidth="1"/>
    <col min="32" max="32" width="8.5" style="101" bestFit="1" customWidth="1"/>
    <col min="33" max="33" width="2.625" style="101" customWidth="1"/>
    <col min="34" max="34" width="3.875" style="101" customWidth="1"/>
    <col min="35" max="35" width="14.125" style="101" bestFit="1" customWidth="1"/>
    <col min="36" max="36" width="2.625" style="101" customWidth="1"/>
    <col min="37" max="37" width="3.875" style="101" customWidth="1"/>
    <col min="38" max="38" width="12.25" style="101" customWidth="1"/>
    <col min="39" max="39" width="2.625" style="101" customWidth="1"/>
    <col min="40" max="40" width="3.875" style="101" customWidth="1"/>
    <col min="41" max="41" width="12.25" style="101" customWidth="1"/>
    <col min="42" max="42" width="2.625" style="101" customWidth="1"/>
    <col min="43" max="43" width="3.875" style="101" customWidth="1"/>
    <col min="44" max="44" width="10.25" style="101" bestFit="1" customWidth="1"/>
    <col min="45" max="45" width="2.625" style="101" customWidth="1"/>
    <col min="46" max="46" width="3.875" style="101" customWidth="1"/>
    <col min="47" max="47" width="10.25" style="101" bestFit="1" customWidth="1"/>
    <col min="48" max="48" width="2.625" style="101" customWidth="1"/>
    <col min="49" max="49" width="3.875" style="101" customWidth="1"/>
    <col min="50" max="50" width="20" style="101" bestFit="1" customWidth="1"/>
    <col min="51" max="51" width="2.625" style="101" customWidth="1"/>
    <col min="52" max="52" width="3.875" style="101" customWidth="1"/>
    <col min="53" max="53" width="19.125" style="101" customWidth="1"/>
    <col min="54" max="54" width="2.625" style="101" customWidth="1"/>
    <col min="55" max="55" width="3.875" style="101" customWidth="1"/>
    <col min="56" max="56" width="8.875" style="101" customWidth="1"/>
    <col min="57" max="57" width="2.625" style="101" customWidth="1"/>
    <col min="58" max="58" width="3.875" style="101" customWidth="1"/>
    <col min="59" max="59" width="20" style="101" bestFit="1" customWidth="1"/>
    <col min="60" max="60" width="2.625" style="101" customWidth="1"/>
    <col min="61" max="61" width="3.875" style="101" customWidth="1"/>
    <col min="62" max="62" width="19.125" style="101" customWidth="1"/>
    <col min="63" max="63" width="2.625" style="101" customWidth="1"/>
    <col min="64" max="64" width="3.875" style="101" customWidth="1"/>
    <col min="65" max="65" width="11.5" style="101" customWidth="1"/>
    <col min="66" max="66" width="2.625" style="101" customWidth="1"/>
    <col min="67" max="67" width="3.875" style="101" customWidth="1"/>
    <col min="68" max="68" width="11.5" style="101" customWidth="1"/>
    <col min="69" max="69" width="2.625" style="101" customWidth="1"/>
    <col min="70" max="70" width="3.875" style="101" customWidth="1"/>
    <col min="71" max="71" width="27.75" style="101" bestFit="1" customWidth="1"/>
    <col min="72" max="72" width="2.625" style="101" customWidth="1"/>
    <col min="73" max="73" width="3.875" style="101" customWidth="1"/>
    <col min="74" max="74" width="13.125" style="101" bestFit="1" customWidth="1"/>
    <col min="75" max="75" width="2.625" style="101" customWidth="1"/>
    <col min="76" max="76" width="3.875" style="101" customWidth="1"/>
    <col min="77" max="77" width="10.25" style="101" bestFit="1" customWidth="1"/>
    <col min="78" max="78" width="2.625" style="101" customWidth="1"/>
    <col min="79" max="79" width="3.875" style="101" customWidth="1"/>
    <col min="80" max="80" width="12.875" style="101" bestFit="1" customWidth="1"/>
    <col min="81" max="81" width="2.625" style="101" customWidth="1"/>
    <col min="82" max="82" width="3.875" style="101" customWidth="1"/>
    <col min="83" max="83" width="12.875" style="101" bestFit="1" customWidth="1"/>
    <col min="84" max="84" width="2.625" style="101" customWidth="1"/>
    <col min="85" max="85" width="3.875" style="101" customWidth="1"/>
    <col min="86" max="86" width="13.125" style="101" bestFit="1" customWidth="1"/>
    <col min="87" max="87" width="2.625" style="101" customWidth="1"/>
    <col min="88" max="88" width="3.875" style="101" customWidth="1"/>
    <col min="89" max="89" width="18" style="101" customWidth="1"/>
    <col min="90" max="90" width="2.625" style="101" customWidth="1"/>
    <col min="91" max="91" width="3.875" style="101" customWidth="1"/>
    <col min="92" max="92" width="21.875" style="101" bestFit="1" customWidth="1"/>
    <col min="93" max="93" width="2.625" style="116" customWidth="1"/>
    <col min="94" max="94" width="3.875" style="116" customWidth="1"/>
    <col min="95" max="95" width="19.375" style="116" customWidth="1"/>
    <col min="96" max="96" width="2.625" style="116" customWidth="1"/>
    <col min="97" max="97" width="3.875" style="116" customWidth="1"/>
    <col min="98" max="98" width="6.75" style="116" bestFit="1" customWidth="1"/>
    <col min="99" max="99" width="2.625" style="133" customWidth="1"/>
    <col min="100" max="100" width="3.875" style="133" customWidth="1"/>
    <col min="101" max="101" width="10.25" style="133" customWidth="1"/>
    <col min="102" max="16384" width="9" style="101"/>
  </cols>
  <sheetData>
    <row r="1" spans="1:101" ht="15.75" thickBot="1" x14ac:dyDescent="0.3"/>
    <row r="2" spans="1:101" ht="15.75" thickBot="1" x14ac:dyDescent="0.3">
      <c r="A2" s="326" t="s">
        <v>7</v>
      </c>
      <c r="B2" s="327"/>
      <c r="D2" s="326" t="s">
        <v>8</v>
      </c>
      <c r="E2" s="327"/>
      <c r="G2" s="326" t="s">
        <v>8</v>
      </c>
      <c r="H2" s="327"/>
      <c r="J2" s="326" t="s">
        <v>9</v>
      </c>
      <c r="K2" s="327"/>
      <c r="M2" s="326" t="s">
        <v>10</v>
      </c>
      <c r="N2" s="327"/>
      <c r="P2" s="326" t="s">
        <v>10</v>
      </c>
      <c r="Q2" s="327"/>
      <c r="S2" s="326" t="s">
        <v>38</v>
      </c>
      <c r="T2" s="327"/>
      <c r="V2" s="326" t="s">
        <v>39</v>
      </c>
      <c r="W2" s="327"/>
      <c r="Y2" s="326" t="s">
        <v>40</v>
      </c>
      <c r="Z2" s="327"/>
      <c r="AB2" s="326" t="s">
        <v>53</v>
      </c>
      <c r="AC2" s="327"/>
      <c r="AE2" s="326" t="s">
        <v>60</v>
      </c>
      <c r="AF2" s="327"/>
      <c r="AH2" s="326" t="s">
        <v>61</v>
      </c>
      <c r="AI2" s="327"/>
      <c r="AK2" s="326" t="s">
        <v>54</v>
      </c>
      <c r="AL2" s="327"/>
      <c r="AN2" s="326" t="s">
        <v>59</v>
      </c>
      <c r="AO2" s="327"/>
      <c r="AQ2" s="326" t="s">
        <v>62</v>
      </c>
      <c r="AR2" s="327"/>
      <c r="AT2" s="326" t="s">
        <v>63</v>
      </c>
      <c r="AU2" s="327"/>
      <c r="AW2" s="326" t="s">
        <v>64</v>
      </c>
      <c r="AX2" s="327"/>
      <c r="AZ2" s="326" t="s">
        <v>65</v>
      </c>
      <c r="BA2" s="327"/>
      <c r="BC2" s="326" t="s">
        <v>66</v>
      </c>
      <c r="BD2" s="327"/>
      <c r="BF2" s="326" t="s">
        <v>67</v>
      </c>
      <c r="BG2" s="327"/>
      <c r="BI2" s="326" t="s">
        <v>92</v>
      </c>
      <c r="BJ2" s="327"/>
      <c r="BL2" s="326" t="s">
        <v>92</v>
      </c>
      <c r="BM2" s="327"/>
      <c r="BO2" s="326" t="s">
        <v>93</v>
      </c>
      <c r="BP2" s="327"/>
      <c r="BR2" s="326" t="s">
        <v>93</v>
      </c>
      <c r="BS2" s="327"/>
      <c r="BU2" s="326" t="s">
        <v>94</v>
      </c>
      <c r="BV2" s="327"/>
      <c r="BX2" s="326" t="s">
        <v>95</v>
      </c>
      <c r="BY2" s="327"/>
      <c r="CA2" s="326" t="s">
        <v>122</v>
      </c>
      <c r="CB2" s="327"/>
      <c r="CD2" s="326" t="s">
        <v>123</v>
      </c>
      <c r="CE2" s="327"/>
      <c r="CG2" s="326" t="s">
        <v>124</v>
      </c>
      <c r="CH2" s="327"/>
      <c r="CJ2" s="326" t="s">
        <v>124</v>
      </c>
      <c r="CK2" s="327"/>
      <c r="CM2" s="326" t="s">
        <v>125</v>
      </c>
      <c r="CN2" s="327"/>
      <c r="CP2" s="328" t="s">
        <v>263</v>
      </c>
      <c r="CQ2" s="327"/>
      <c r="CS2" s="328" t="s">
        <v>271</v>
      </c>
      <c r="CT2" s="327"/>
      <c r="CV2" s="328" t="s">
        <v>279</v>
      </c>
      <c r="CW2" s="327"/>
    </row>
    <row r="3" spans="1:101" ht="15.75" thickTop="1" x14ac:dyDescent="0.25">
      <c r="A3" s="35">
        <v>1</v>
      </c>
      <c r="B3" s="36" t="s">
        <v>11</v>
      </c>
      <c r="D3" s="35">
        <v>1</v>
      </c>
      <c r="E3" s="36" t="s">
        <v>12</v>
      </c>
      <c r="G3" s="37">
        <v>1</v>
      </c>
      <c r="H3" s="38" t="s">
        <v>13</v>
      </c>
      <c r="J3" s="37">
        <v>1</v>
      </c>
      <c r="K3" s="38" t="s">
        <v>14</v>
      </c>
      <c r="M3" s="37">
        <v>1</v>
      </c>
      <c r="N3" s="38" t="s">
        <v>15</v>
      </c>
      <c r="P3" s="37">
        <v>1</v>
      </c>
      <c r="Q3" s="38" t="s">
        <v>41</v>
      </c>
      <c r="S3" s="37">
        <v>1</v>
      </c>
      <c r="T3" s="38" t="s">
        <v>42</v>
      </c>
      <c r="V3" s="37">
        <v>1</v>
      </c>
      <c r="W3" s="38" t="s">
        <v>41</v>
      </c>
      <c r="Y3" s="37">
        <v>1</v>
      </c>
      <c r="Z3" s="38" t="s">
        <v>48</v>
      </c>
      <c r="AB3" s="37">
        <v>1</v>
      </c>
      <c r="AC3" s="38" t="s">
        <v>43</v>
      </c>
      <c r="AE3" s="37">
        <v>1</v>
      </c>
      <c r="AF3" s="38" t="s">
        <v>68</v>
      </c>
      <c r="AH3" s="37">
        <v>1</v>
      </c>
      <c r="AI3" s="38" t="s">
        <v>103</v>
      </c>
      <c r="AK3" s="37">
        <v>1</v>
      </c>
      <c r="AL3" s="38" t="s">
        <v>41</v>
      </c>
      <c r="AN3" s="37">
        <v>1</v>
      </c>
      <c r="AO3" s="38" t="s">
        <v>55</v>
      </c>
      <c r="AQ3" s="37">
        <v>1</v>
      </c>
      <c r="AR3" s="38" t="s">
        <v>76</v>
      </c>
      <c r="AT3" s="37">
        <v>1</v>
      </c>
      <c r="AU3" s="38" t="s">
        <v>77</v>
      </c>
      <c r="AW3" s="37">
        <v>1</v>
      </c>
      <c r="AX3" s="38" t="s">
        <v>90</v>
      </c>
      <c r="AZ3" s="37">
        <v>1</v>
      </c>
      <c r="BA3" s="38" t="s">
        <v>78</v>
      </c>
      <c r="BC3" s="37">
        <v>1</v>
      </c>
      <c r="BD3" s="38" t="s">
        <v>79</v>
      </c>
      <c r="BF3" s="37">
        <v>1</v>
      </c>
      <c r="BG3" s="38" t="s">
        <v>80</v>
      </c>
      <c r="BI3" s="37">
        <v>1</v>
      </c>
      <c r="BJ3" s="38" t="s">
        <v>96</v>
      </c>
      <c r="BL3" s="37">
        <v>1</v>
      </c>
      <c r="BM3" s="38" t="s">
        <v>97</v>
      </c>
      <c r="BO3" s="37">
        <v>1</v>
      </c>
      <c r="BP3" s="38" t="s">
        <v>98</v>
      </c>
      <c r="BR3" s="37">
        <v>1</v>
      </c>
      <c r="BS3" s="38" t="s">
        <v>99</v>
      </c>
      <c r="BU3" s="37">
        <v>1</v>
      </c>
      <c r="BV3" s="38" t="s">
        <v>126</v>
      </c>
      <c r="BX3" s="37">
        <v>1</v>
      </c>
      <c r="BY3" s="38" t="s">
        <v>95</v>
      </c>
      <c r="CA3" s="37">
        <v>1</v>
      </c>
      <c r="CB3" s="38" t="s">
        <v>127</v>
      </c>
      <c r="CD3" s="37">
        <v>1</v>
      </c>
      <c r="CE3" s="38" t="s">
        <v>107</v>
      </c>
      <c r="CG3" s="37">
        <v>1</v>
      </c>
      <c r="CH3" s="38" t="s">
        <v>128</v>
      </c>
      <c r="CJ3" s="37">
        <v>1</v>
      </c>
      <c r="CK3" s="61" t="s">
        <v>284</v>
      </c>
      <c r="CM3" s="37">
        <v>1</v>
      </c>
      <c r="CN3" s="61" t="s">
        <v>121</v>
      </c>
      <c r="CP3" s="37">
        <v>1</v>
      </c>
      <c r="CQ3" s="61" t="s">
        <v>264</v>
      </c>
      <c r="CS3" s="37">
        <v>1</v>
      </c>
      <c r="CT3" s="61" t="s">
        <v>272</v>
      </c>
      <c r="CV3" s="37">
        <v>1</v>
      </c>
      <c r="CW3" s="61" t="s">
        <v>280</v>
      </c>
    </row>
    <row r="4" spans="1:101" ht="15.75" thickBot="1" x14ac:dyDescent="0.3">
      <c r="A4" s="39">
        <v>2</v>
      </c>
      <c r="B4" s="30" t="s">
        <v>16</v>
      </c>
      <c r="D4" s="39">
        <v>2</v>
      </c>
      <c r="E4" s="30" t="s">
        <v>17</v>
      </c>
      <c r="G4" s="40">
        <v>2</v>
      </c>
      <c r="H4" s="41" t="s">
        <v>18</v>
      </c>
      <c r="J4" s="39">
        <v>2</v>
      </c>
      <c r="K4" s="30" t="s">
        <v>19</v>
      </c>
      <c r="M4" s="39">
        <v>2</v>
      </c>
      <c r="N4" s="30" t="s">
        <v>20</v>
      </c>
      <c r="P4" s="39">
        <v>2</v>
      </c>
      <c r="Q4" s="30" t="s">
        <v>21</v>
      </c>
      <c r="S4" s="39">
        <v>2</v>
      </c>
      <c r="T4" s="30" t="s">
        <v>44</v>
      </c>
      <c r="V4" s="40">
        <v>2</v>
      </c>
      <c r="W4" s="41" t="s">
        <v>45</v>
      </c>
      <c r="Y4" s="39">
        <v>2</v>
      </c>
      <c r="Z4" s="30" t="s">
        <v>49</v>
      </c>
      <c r="AB4" s="39">
        <v>2</v>
      </c>
      <c r="AC4" s="30" t="s">
        <v>42</v>
      </c>
      <c r="AE4" s="40">
        <v>2</v>
      </c>
      <c r="AF4" s="41" t="s">
        <v>70</v>
      </c>
      <c r="AH4" s="39">
        <v>2</v>
      </c>
      <c r="AI4" s="30" t="s">
        <v>69</v>
      </c>
      <c r="AK4" s="39">
        <v>2</v>
      </c>
      <c r="AL4" s="30" t="s">
        <v>21</v>
      </c>
      <c r="AN4" s="39">
        <v>2</v>
      </c>
      <c r="AO4" s="30" t="s">
        <v>56</v>
      </c>
      <c r="AQ4" s="39">
        <v>2</v>
      </c>
      <c r="AR4" s="30" t="s">
        <v>81</v>
      </c>
      <c r="AT4" s="39">
        <v>2</v>
      </c>
      <c r="AU4" s="30" t="s">
        <v>82</v>
      </c>
      <c r="AW4" s="39">
        <v>2</v>
      </c>
      <c r="AX4" s="30" t="s">
        <v>83</v>
      </c>
      <c r="AZ4" s="39">
        <v>2</v>
      </c>
      <c r="BA4" s="30" t="s">
        <v>91</v>
      </c>
      <c r="BC4" s="39">
        <v>2</v>
      </c>
      <c r="BD4" s="30" t="s">
        <v>84</v>
      </c>
      <c r="BF4" s="39">
        <v>2</v>
      </c>
      <c r="BG4" s="30" t="s">
        <v>85</v>
      </c>
      <c r="BI4" s="39">
        <v>2</v>
      </c>
      <c r="BJ4" s="30" t="s">
        <v>100</v>
      </c>
      <c r="BL4" s="39">
        <v>2</v>
      </c>
      <c r="BM4" s="30" t="s">
        <v>18</v>
      </c>
      <c r="BO4" s="39">
        <v>2</v>
      </c>
      <c r="BP4" s="30" t="s">
        <v>101</v>
      </c>
      <c r="BR4" s="39">
        <v>2</v>
      </c>
      <c r="BS4" s="30" t="s">
        <v>102</v>
      </c>
      <c r="BU4" s="39">
        <v>2</v>
      </c>
      <c r="BV4" s="30" t="s">
        <v>104</v>
      </c>
      <c r="BX4" s="39">
        <v>2</v>
      </c>
      <c r="BY4" s="30" t="s">
        <v>129</v>
      </c>
      <c r="CA4" s="39">
        <v>2</v>
      </c>
      <c r="CB4" s="30" t="s">
        <v>130</v>
      </c>
      <c r="CD4" s="39">
        <v>2</v>
      </c>
      <c r="CE4" s="30" t="s">
        <v>131</v>
      </c>
      <c r="CG4" s="39">
        <v>2</v>
      </c>
      <c r="CH4" s="30" t="s">
        <v>132</v>
      </c>
      <c r="CJ4" s="39">
        <v>2</v>
      </c>
      <c r="CK4" s="42" t="s">
        <v>285</v>
      </c>
      <c r="CM4" s="39">
        <v>2</v>
      </c>
      <c r="CN4" s="42" t="s">
        <v>138</v>
      </c>
      <c r="CP4" s="39">
        <v>2</v>
      </c>
      <c r="CQ4" s="42" t="s">
        <v>265</v>
      </c>
      <c r="CS4" s="39">
        <v>2</v>
      </c>
      <c r="CT4" s="42" t="s">
        <v>273</v>
      </c>
      <c r="CV4" s="39">
        <v>2</v>
      </c>
      <c r="CW4" s="42" t="s">
        <v>281</v>
      </c>
    </row>
    <row r="5" spans="1:101" ht="15.75" thickBot="1" x14ac:dyDescent="0.3">
      <c r="A5" s="39">
        <v>3</v>
      </c>
      <c r="B5" s="30" t="s">
        <v>22</v>
      </c>
      <c r="D5" s="40">
        <v>3</v>
      </c>
      <c r="E5" s="41" t="s">
        <v>23</v>
      </c>
      <c r="J5" s="40">
        <v>3</v>
      </c>
      <c r="K5" s="41" t="s">
        <v>24</v>
      </c>
      <c r="M5" s="40">
        <v>3</v>
      </c>
      <c r="N5" s="41" t="s">
        <v>25</v>
      </c>
      <c r="P5" s="39">
        <v>3</v>
      </c>
      <c r="Q5" s="30" t="s">
        <v>26</v>
      </c>
      <c r="S5" s="40">
        <v>3</v>
      </c>
      <c r="T5" s="41" t="s">
        <v>46</v>
      </c>
      <c r="Y5" s="39">
        <v>3</v>
      </c>
      <c r="Z5" s="30" t="s">
        <v>50</v>
      </c>
      <c r="AB5" s="40">
        <v>3</v>
      </c>
      <c r="AC5" s="41" t="s">
        <v>47</v>
      </c>
      <c r="AH5" s="40">
        <v>3</v>
      </c>
      <c r="AI5" s="41" t="s">
        <v>71</v>
      </c>
      <c r="AK5" s="39">
        <v>3</v>
      </c>
      <c r="AL5" s="30" t="s">
        <v>26</v>
      </c>
      <c r="AN5" s="39">
        <v>3</v>
      </c>
      <c r="AO5" s="30" t="s">
        <v>57</v>
      </c>
      <c r="AQ5" s="40">
        <v>3</v>
      </c>
      <c r="AR5" s="41" t="s">
        <v>86</v>
      </c>
      <c r="AT5" s="40">
        <v>3</v>
      </c>
      <c r="AU5" s="41"/>
      <c r="AW5" s="40">
        <v>3</v>
      </c>
      <c r="AX5" s="41" t="s">
        <v>87</v>
      </c>
      <c r="AZ5" s="40">
        <v>3</v>
      </c>
      <c r="BA5" s="41"/>
      <c r="BC5" s="56">
        <v>3</v>
      </c>
      <c r="BD5" s="57" t="s">
        <v>88</v>
      </c>
      <c r="BF5" s="39">
        <v>3</v>
      </c>
      <c r="BG5" s="30" t="s">
        <v>72</v>
      </c>
      <c r="BI5" s="40">
        <v>3</v>
      </c>
      <c r="BJ5" s="41"/>
      <c r="BL5" s="40">
        <v>3</v>
      </c>
      <c r="BM5" s="41"/>
      <c r="BO5" s="40">
        <v>3</v>
      </c>
      <c r="BP5" s="41"/>
      <c r="BR5" s="40">
        <v>3</v>
      </c>
      <c r="BS5" s="41"/>
      <c r="BU5" s="40">
        <v>3</v>
      </c>
      <c r="BV5" s="41" t="s">
        <v>105</v>
      </c>
      <c r="BX5" s="40">
        <v>3</v>
      </c>
      <c r="BY5" s="41"/>
      <c r="CA5" s="56">
        <v>3</v>
      </c>
      <c r="CB5" s="57" t="s">
        <v>133</v>
      </c>
      <c r="CD5" s="56">
        <v>3</v>
      </c>
      <c r="CE5" s="57" t="s">
        <v>134</v>
      </c>
      <c r="CG5" s="40"/>
      <c r="CH5" s="41"/>
      <c r="CJ5" s="40">
        <v>3</v>
      </c>
      <c r="CK5" s="43" t="s">
        <v>286</v>
      </c>
      <c r="CM5" s="40">
        <v>3</v>
      </c>
      <c r="CN5" s="43" t="s">
        <v>139</v>
      </c>
      <c r="CP5" s="56">
        <v>3</v>
      </c>
      <c r="CQ5" s="118" t="s">
        <v>266</v>
      </c>
      <c r="CS5" s="40"/>
      <c r="CT5" s="41"/>
      <c r="CV5" s="40"/>
      <c r="CW5" s="41"/>
    </row>
    <row r="6" spans="1:101" ht="15.75" thickBot="1" x14ac:dyDescent="0.3">
      <c r="A6" s="39">
        <v>4</v>
      </c>
      <c r="B6" s="30" t="s">
        <v>27</v>
      </c>
      <c r="P6" s="39">
        <v>4</v>
      </c>
      <c r="Q6" s="30" t="s">
        <v>28</v>
      </c>
      <c r="Y6" s="39">
        <v>4</v>
      </c>
      <c r="Z6" s="30" t="s">
        <v>51</v>
      </c>
      <c r="AK6" s="39">
        <v>4</v>
      </c>
      <c r="AL6" s="30" t="s">
        <v>135</v>
      </c>
      <c r="AN6" s="39">
        <v>4</v>
      </c>
      <c r="AO6" s="30" t="s">
        <v>58</v>
      </c>
      <c r="BC6" s="40">
        <v>4</v>
      </c>
      <c r="BD6" s="41" t="s">
        <v>89</v>
      </c>
      <c r="BF6" s="39">
        <v>4</v>
      </c>
      <c r="BG6" s="30" t="s">
        <v>73</v>
      </c>
      <c r="CA6" s="40">
        <v>4</v>
      </c>
      <c r="CB6" s="41" t="s">
        <v>136</v>
      </c>
      <c r="CD6" s="40">
        <v>4</v>
      </c>
      <c r="CE6" s="41" t="s">
        <v>137</v>
      </c>
      <c r="CP6" s="40">
        <v>4</v>
      </c>
      <c r="CQ6" s="43" t="s">
        <v>267</v>
      </c>
    </row>
    <row r="7" spans="1:101" ht="15.75" thickBot="1" x14ac:dyDescent="0.3">
      <c r="A7" s="39">
        <v>5</v>
      </c>
      <c r="B7" s="30" t="s">
        <v>29</v>
      </c>
      <c r="P7" s="40">
        <v>5</v>
      </c>
      <c r="Q7" s="41" t="s">
        <v>30</v>
      </c>
      <c r="Y7" s="40">
        <v>5</v>
      </c>
      <c r="Z7" s="41" t="s">
        <v>52</v>
      </c>
      <c r="AK7" s="56">
        <v>5</v>
      </c>
      <c r="AL7" s="57" t="s">
        <v>74</v>
      </c>
      <c r="AN7" s="40">
        <v>5</v>
      </c>
      <c r="AO7" s="41"/>
      <c r="BF7" s="40">
        <v>5</v>
      </c>
      <c r="BG7" s="41" t="s">
        <v>75</v>
      </c>
    </row>
    <row r="8" spans="1:101" ht="15.75" thickBot="1" x14ac:dyDescent="0.3">
      <c r="A8" s="39">
        <v>6</v>
      </c>
      <c r="B8" s="30" t="s">
        <v>31</v>
      </c>
      <c r="AK8" s="40">
        <v>6</v>
      </c>
      <c r="AL8" s="41"/>
    </row>
    <row r="9" spans="1:101" x14ac:dyDescent="0.25">
      <c r="A9" s="39">
        <v>7</v>
      </c>
      <c r="B9" s="30" t="s">
        <v>32</v>
      </c>
    </row>
    <row r="10" spans="1:101" x14ac:dyDescent="0.25">
      <c r="A10" s="39">
        <v>8</v>
      </c>
      <c r="B10" s="30" t="s">
        <v>33</v>
      </c>
    </row>
    <row r="11" spans="1:101" x14ac:dyDescent="0.25">
      <c r="A11" s="39">
        <v>9</v>
      </c>
      <c r="B11" s="30" t="s">
        <v>34</v>
      </c>
    </row>
    <row r="12" spans="1:101" x14ac:dyDescent="0.25">
      <c r="A12" s="39">
        <v>10</v>
      </c>
      <c r="B12" s="30" t="s">
        <v>35</v>
      </c>
    </row>
    <row r="13" spans="1:101" x14ac:dyDescent="0.25">
      <c r="A13" s="39">
        <v>11</v>
      </c>
      <c r="B13" s="30" t="s">
        <v>36</v>
      </c>
    </row>
    <row r="14" spans="1:101" ht="15.75" thickBot="1" x14ac:dyDescent="0.3">
      <c r="A14" s="40">
        <v>12</v>
      </c>
      <c r="B14" s="41" t="s">
        <v>37</v>
      </c>
    </row>
  </sheetData>
  <mergeCells count="34">
    <mergeCell ref="CV2:CW2"/>
    <mergeCell ref="CP2:CQ2"/>
    <mergeCell ref="CS2:CT2"/>
    <mergeCell ref="CM2:CN2"/>
    <mergeCell ref="BI2:BJ2"/>
    <mergeCell ref="BL2:BM2"/>
    <mergeCell ref="BO2:BP2"/>
    <mergeCell ref="CG2:CH2"/>
    <mergeCell ref="CJ2:CK2"/>
    <mergeCell ref="CD2:CE2"/>
    <mergeCell ref="CA2:CB2"/>
    <mergeCell ref="A2:B2"/>
    <mergeCell ref="D2:E2"/>
    <mergeCell ref="G2:H2"/>
    <mergeCell ref="J2:K2"/>
    <mergeCell ref="P2:Q2"/>
    <mergeCell ref="M2:N2"/>
    <mergeCell ref="S2:T2"/>
    <mergeCell ref="V2:W2"/>
    <mergeCell ref="Y2:Z2"/>
    <mergeCell ref="AB2:AC2"/>
    <mergeCell ref="AE2:AF2"/>
    <mergeCell ref="AH2:AI2"/>
    <mergeCell ref="AK2:AL2"/>
    <mergeCell ref="AN2:AO2"/>
    <mergeCell ref="AQ2:AR2"/>
    <mergeCell ref="AT2:AU2"/>
    <mergeCell ref="AW2:AX2"/>
    <mergeCell ref="AZ2:BA2"/>
    <mergeCell ref="BR2:BS2"/>
    <mergeCell ref="BU2:BV2"/>
    <mergeCell ref="BX2:BY2"/>
    <mergeCell ref="BC2:BD2"/>
    <mergeCell ref="BF2:BG2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113"/>
  <sheetViews>
    <sheetView showGridLines="0" workbookViewId="0">
      <pane ySplit="2" topLeftCell="A3" activePane="bottomLeft" state="frozenSplit"/>
      <selection activeCell="H8" sqref="H8"/>
      <selection pane="bottomLeft" activeCell="G110" sqref="G110"/>
    </sheetView>
  </sheetViews>
  <sheetFormatPr defaultRowHeight="18" x14ac:dyDescent="0.3"/>
  <cols>
    <col min="1" max="1" width="4.125" style="21" bestFit="1" customWidth="1"/>
    <col min="2" max="3" width="12.875" style="21" customWidth="1"/>
    <col min="4" max="4" width="6.625" style="3" customWidth="1"/>
    <col min="5" max="5" width="4.125" style="21" bestFit="1" customWidth="1"/>
    <col min="6" max="7" width="12.875" style="21" customWidth="1"/>
    <col min="8" max="8" width="6.625" style="3" customWidth="1"/>
    <col min="9" max="9" width="4.125" style="21" bestFit="1" customWidth="1"/>
    <col min="10" max="11" width="12.875" style="21" customWidth="1"/>
    <col min="12" max="12" width="6.625" style="3" customWidth="1"/>
    <col min="13" max="13" width="4.125" style="21" bestFit="1" customWidth="1"/>
    <col min="14" max="15" width="12.875" style="21" customWidth="1"/>
    <col min="16" max="16" width="6.625" style="132" customWidth="1"/>
    <col min="17" max="17" width="4.125" style="21" bestFit="1" customWidth="1"/>
    <col min="18" max="19" width="12.875" style="21" customWidth="1"/>
    <col min="20" max="16384" width="9" style="3"/>
  </cols>
  <sheetData>
    <row r="1" spans="1:19" ht="18.75" thickBot="1" x14ac:dyDescent="0.4">
      <c r="A1" s="1">
        <v>1</v>
      </c>
      <c r="B1" s="1" t="s">
        <v>0</v>
      </c>
      <c r="C1" s="2"/>
      <c r="E1" s="1">
        <v>2</v>
      </c>
      <c r="F1" s="1" t="s">
        <v>1</v>
      </c>
      <c r="G1" s="2"/>
      <c r="I1" s="1">
        <v>3</v>
      </c>
      <c r="J1" s="1" t="s">
        <v>2</v>
      </c>
      <c r="K1" s="2"/>
      <c r="M1" s="1">
        <v>4</v>
      </c>
      <c r="N1" s="1" t="s">
        <v>3</v>
      </c>
      <c r="O1" s="2"/>
      <c r="Q1" s="1">
        <v>5</v>
      </c>
      <c r="R1" s="1" t="s">
        <v>278</v>
      </c>
      <c r="S1" s="2"/>
    </row>
    <row r="2" spans="1:19" ht="18.75" thickBot="1" x14ac:dyDescent="0.4">
      <c r="A2" s="4" t="s">
        <v>4</v>
      </c>
      <c r="B2" s="5" t="s">
        <v>5</v>
      </c>
      <c r="C2" s="6" t="s">
        <v>6</v>
      </c>
      <c r="E2" s="4" t="s">
        <v>4</v>
      </c>
      <c r="F2" s="5" t="s">
        <v>5</v>
      </c>
      <c r="G2" s="6" t="s">
        <v>6</v>
      </c>
      <c r="I2" s="4" t="s">
        <v>4</v>
      </c>
      <c r="J2" s="5" t="s">
        <v>5</v>
      </c>
      <c r="K2" s="6" t="s">
        <v>6</v>
      </c>
      <c r="M2" s="4" t="s">
        <v>4</v>
      </c>
      <c r="N2" s="5" t="s">
        <v>5</v>
      </c>
      <c r="O2" s="6" t="s">
        <v>6</v>
      </c>
      <c r="Q2" s="4" t="s">
        <v>4</v>
      </c>
      <c r="R2" s="5" t="s">
        <v>5</v>
      </c>
      <c r="S2" s="6" t="s">
        <v>6</v>
      </c>
    </row>
    <row r="3" spans="1:19" ht="18.75" thickTop="1" x14ac:dyDescent="0.3">
      <c r="A3" s="7">
        <v>0</v>
      </c>
      <c r="B3" s="8">
        <v>2.1304E-2</v>
      </c>
      <c r="C3" s="9">
        <v>2.1304E-2</v>
      </c>
      <c r="E3" s="7">
        <v>0</v>
      </c>
      <c r="F3" s="8">
        <v>1.8081E-2</v>
      </c>
      <c r="G3" s="9">
        <v>1.8081E-2</v>
      </c>
      <c r="I3" s="7">
        <v>0</v>
      </c>
      <c r="J3" s="8">
        <v>1.025E-2</v>
      </c>
      <c r="K3" s="9">
        <v>8.7200000000000003E-3</v>
      </c>
      <c r="M3" s="7">
        <v>0</v>
      </c>
      <c r="N3" s="8">
        <v>5.7299999999999999E-3</v>
      </c>
      <c r="O3" s="9">
        <v>5.2399999999999999E-3</v>
      </c>
      <c r="Q3" s="7">
        <v>0</v>
      </c>
      <c r="R3" s="8">
        <v>3.7239999999999999E-3</v>
      </c>
      <c r="S3" s="9">
        <v>3.4060000000000002E-3</v>
      </c>
    </row>
    <row r="4" spans="1:19" x14ac:dyDescent="0.3">
      <c r="A4" s="10">
        <v>1</v>
      </c>
      <c r="B4" s="11">
        <v>5.7489999999999998E-3</v>
      </c>
      <c r="C4" s="12">
        <v>5.7489999999999998E-3</v>
      </c>
      <c r="E4" s="10">
        <v>1</v>
      </c>
      <c r="F4" s="11">
        <v>4.3359999999999996E-3</v>
      </c>
      <c r="G4" s="12">
        <v>4.3359999999999996E-3</v>
      </c>
      <c r="I4" s="10">
        <v>1</v>
      </c>
      <c r="J4" s="11">
        <v>2.3500000000000001E-3</v>
      </c>
      <c r="K4" s="12">
        <v>1.98E-3</v>
      </c>
      <c r="M4" s="10">
        <v>1</v>
      </c>
      <c r="N4" s="11">
        <v>9.68E-4</v>
      </c>
      <c r="O4" s="12">
        <v>9.0399999999999996E-4</v>
      </c>
      <c r="Q4" s="10">
        <v>1</v>
      </c>
      <c r="R4" s="11">
        <v>7.8600000000000002E-4</v>
      </c>
      <c r="S4" s="12">
        <v>7.3499999999999998E-4</v>
      </c>
    </row>
    <row r="5" spans="1:19" x14ac:dyDescent="0.3">
      <c r="A5" s="10">
        <v>2</v>
      </c>
      <c r="B5" s="11">
        <v>3.4659999999999999E-3</v>
      </c>
      <c r="C5" s="12">
        <v>3.4659999999999999E-3</v>
      </c>
      <c r="E5" s="10">
        <v>2</v>
      </c>
      <c r="F5" s="11">
        <v>2.5469999999999998E-3</v>
      </c>
      <c r="G5" s="12">
        <v>2.5469999999999998E-3</v>
      </c>
      <c r="I5" s="10">
        <v>2</v>
      </c>
      <c r="J5" s="11">
        <v>1.5200000000000001E-3</v>
      </c>
      <c r="K5" s="12">
        <v>1.23E-3</v>
      </c>
      <c r="M5" s="10">
        <v>2</v>
      </c>
      <c r="N5" s="11">
        <v>7.5199999999999996E-4</v>
      </c>
      <c r="O5" s="12">
        <v>6.2399999999999999E-4</v>
      </c>
      <c r="Q5" s="10">
        <v>2</v>
      </c>
      <c r="R5" s="11">
        <v>6.11E-4</v>
      </c>
      <c r="S5" s="12">
        <v>5.0699999999999996E-4</v>
      </c>
    </row>
    <row r="6" spans="1:19" x14ac:dyDescent="0.3">
      <c r="A6" s="10">
        <v>3</v>
      </c>
      <c r="B6" s="11">
        <v>2.0330000000000001E-3</v>
      </c>
      <c r="C6" s="12">
        <v>2.0330000000000001E-3</v>
      </c>
      <c r="E6" s="10">
        <v>3</v>
      </c>
      <c r="F6" s="11">
        <v>1.459E-3</v>
      </c>
      <c r="G6" s="12">
        <v>1.459E-3</v>
      </c>
      <c r="I6" s="10">
        <v>3</v>
      </c>
      <c r="J6" s="11">
        <v>1.01E-3</v>
      </c>
      <c r="K6" s="12">
        <v>7.5000000000000002E-4</v>
      </c>
      <c r="M6" s="10">
        <v>3</v>
      </c>
      <c r="N6" s="11">
        <v>5.8399999999999999E-4</v>
      </c>
      <c r="O6" s="12">
        <v>4.4000000000000002E-4</v>
      </c>
      <c r="Q6" s="10">
        <v>3</v>
      </c>
      <c r="R6" s="11">
        <v>4.7399999999999997E-4</v>
      </c>
      <c r="S6" s="12">
        <v>3.5799999999999997E-4</v>
      </c>
    </row>
    <row r="7" spans="1:19" x14ac:dyDescent="0.3">
      <c r="A7" s="10">
        <v>4</v>
      </c>
      <c r="B7" s="11">
        <v>1.2359999999999999E-3</v>
      </c>
      <c r="C7" s="12">
        <v>1.2359999999999999E-3</v>
      </c>
      <c r="E7" s="10">
        <v>4</v>
      </c>
      <c r="F7" s="11">
        <v>9.0300000000000005E-4</v>
      </c>
      <c r="G7" s="12">
        <v>9.0300000000000005E-4</v>
      </c>
      <c r="I7" s="10">
        <v>4</v>
      </c>
      <c r="J7" s="11">
        <v>7.2000000000000005E-4</v>
      </c>
      <c r="K7" s="12">
        <v>4.8999999999999998E-4</v>
      </c>
      <c r="M7" s="10">
        <v>4</v>
      </c>
      <c r="N7" s="11">
        <v>4.7199999999999998E-4</v>
      </c>
      <c r="O7" s="12">
        <v>3.28E-4</v>
      </c>
      <c r="Q7" s="10">
        <v>4</v>
      </c>
      <c r="R7" s="11">
        <v>3.8400000000000001E-4</v>
      </c>
      <c r="S7" s="12">
        <v>2.6699999999999998E-4</v>
      </c>
    </row>
    <row r="8" spans="1:19" x14ac:dyDescent="0.3">
      <c r="A8" s="10">
        <v>5</v>
      </c>
      <c r="B8" s="11">
        <v>9.1299999999999997E-4</v>
      </c>
      <c r="C8" s="12">
        <v>9.1299999999999997E-4</v>
      </c>
      <c r="E8" s="10">
        <v>5</v>
      </c>
      <c r="F8" s="11">
        <v>7.1900000000000002E-4</v>
      </c>
      <c r="G8" s="12">
        <v>7.1900000000000002E-4</v>
      </c>
      <c r="I8" s="10">
        <v>5</v>
      </c>
      <c r="J8" s="11">
        <v>5.9000000000000003E-4</v>
      </c>
      <c r="K8" s="12">
        <v>3.6000000000000002E-4</v>
      </c>
      <c r="M8" s="10">
        <v>5</v>
      </c>
      <c r="N8" s="11">
        <v>3.9199999999999999E-4</v>
      </c>
      <c r="O8" s="12">
        <v>2.7999999999999998E-4</v>
      </c>
      <c r="Q8" s="10">
        <v>5</v>
      </c>
      <c r="R8" s="11">
        <v>3.1799999999999998E-4</v>
      </c>
      <c r="S8" s="12">
        <v>2.2800000000000001E-4</v>
      </c>
    </row>
    <row r="9" spans="1:19" x14ac:dyDescent="0.3">
      <c r="A9" s="13">
        <v>6</v>
      </c>
      <c r="B9" s="14">
        <v>8.1499999999999997E-4</v>
      </c>
      <c r="C9" s="15">
        <v>8.1499999999999997E-4</v>
      </c>
      <c r="E9" s="13">
        <v>6</v>
      </c>
      <c r="F9" s="14">
        <v>6.8800000000000003E-4</v>
      </c>
      <c r="G9" s="15">
        <v>6.8800000000000003E-4</v>
      </c>
      <c r="I9" s="13">
        <v>6</v>
      </c>
      <c r="J9" s="14">
        <v>5.5000000000000003E-4</v>
      </c>
      <c r="K9" s="15">
        <v>3.2000000000000003E-4</v>
      </c>
      <c r="M9" s="13">
        <v>6</v>
      </c>
      <c r="N9" s="14">
        <v>3.5199999999999999E-4</v>
      </c>
      <c r="O9" s="15">
        <v>2.4800000000000001E-4</v>
      </c>
      <c r="Q9" s="13">
        <v>6</v>
      </c>
      <c r="R9" s="14">
        <v>2.8600000000000001E-4</v>
      </c>
      <c r="S9" s="15">
        <v>2.02E-4</v>
      </c>
    </row>
    <row r="10" spans="1:19" x14ac:dyDescent="0.3">
      <c r="A10" s="10">
        <v>7</v>
      </c>
      <c r="B10" s="11">
        <v>7.5199999999999996E-4</v>
      </c>
      <c r="C10" s="12">
        <v>7.5199999999999996E-4</v>
      </c>
      <c r="E10" s="10">
        <v>7</v>
      </c>
      <c r="F10" s="11">
        <v>6.5399999999999996E-4</v>
      </c>
      <c r="G10" s="12">
        <v>6.5399999999999996E-4</v>
      </c>
      <c r="I10" s="10">
        <v>7</v>
      </c>
      <c r="J10" s="11">
        <v>5.4000000000000001E-4</v>
      </c>
      <c r="K10" s="12">
        <v>3.1E-4</v>
      </c>
      <c r="M10" s="10">
        <v>7</v>
      </c>
      <c r="N10" s="11">
        <v>3.28E-4</v>
      </c>
      <c r="O10" s="12">
        <v>2.24E-4</v>
      </c>
      <c r="Q10" s="10">
        <v>7</v>
      </c>
      <c r="R10" s="11">
        <v>2.6699999999999998E-4</v>
      </c>
      <c r="S10" s="12">
        <v>1.8200000000000001E-4</v>
      </c>
    </row>
    <row r="11" spans="1:19" x14ac:dyDescent="0.3">
      <c r="A11" s="10">
        <v>8</v>
      </c>
      <c r="B11" s="11">
        <v>7.0699999999999995E-4</v>
      </c>
      <c r="C11" s="12">
        <v>7.0699999999999995E-4</v>
      </c>
      <c r="E11" s="10">
        <v>8</v>
      </c>
      <c r="F11" s="11">
        <v>6.0999999999999997E-4</v>
      </c>
      <c r="G11" s="12">
        <v>6.0999999999999997E-4</v>
      </c>
      <c r="I11" s="10">
        <v>8</v>
      </c>
      <c r="J11" s="11">
        <v>5.4000000000000001E-4</v>
      </c>
      <c r="K11" s="12">
        <v>2.9999999999999997E-4</v>
      </c>
      <c r="M11" s="10">
        <v>8</v>
      </c>
      <c r="N11" s="11">
        <v>3.2000000000000003E-4</v>
      </c>
      <c r="O11" s="12">
        <v>2.0799999999999999E-4</v>
      </c>
      <c r="Q11" s="10">
        <v>8</v>
      </c>
      <c r="R11" s="11">
        <v>2.5999999999999998E-4</v>
      </c>
      <c r="S11" s="12">
        <v>1.6899999999999999E-4</v>
      </c>
    </row>
    <row r="12" spans="1:19" x14ac:dyDescent="0.3">
      <c r="A12" s="10">
        <v>9</v>
      </c>
      <c r="B12" s="11">
        <v>6.6299999999999996E-4</v>
      </c>
      <c r="C12" s="12">
        <v>6.6299999999999996E-4</v>
      </c>
      <c r="E12" s="10">
        <v>9</v>
      </c>
      <c r="F12" s="11">
        <v>5.7200000000000003E-4</v>
      </c>
      <c r="G12" s="12">
        <v>5.7200000000000003E-4</v>
      </c>
      <c r="I12" s="10">
        <v>9</v>
      </c>
      <c r="J12" s="11">
        <v>5.1999999999999995E-4</v>
      </c>
      <c r="K12" s="12">
        <v>2.9E-4</v>
      </c>
      <c r="M12" s="10">
        <v>9</v>
      </c>
      <c r="N12" s="11">
        <v>3.1199999999999999E-4</v>
      </c>
      <c r="O12" s="12">
        <v>1.92E-4</v>
      </c>
      <c r="Q12" s="10">
        <v>9</v>
      </c>
      <c r="R12" s="11">
        <v>2.5300000000000002E-4</v>
      </c>
      <c r="S12" s="12">
        <v>1.56E-4</v>
      </c>
    </row>
    <row r="13" spans="1:19" x14ac:dyDescent="0.3">
      <c r="A13" s="7">
        <v>10</v>
      </c>
      <c r="B13" s="8">
        <v>6.1799999999999995E-4</v>
      </c>
      <c r="C13" s="9">
        <v>6.1799999999999995E-4</v>
      </c>
      <c r="E13" s="7">
        <v>10</v>
      </c>
      <c r="F13" s="8">
        <v>5.53E-4</v>
      </c>
      <c r="G13" s="9">
        <v>5.53E-4</v>
      </c>
      <c r="I13" s="7">
        <v>10</v>
      </c>
      <c r="J13" s="8">
        <v>4.8999999999999998E-4</v>
      </c>
      <c r="K13" s="9">
        <v>2.9E-4</v>
      </c>
      <c r="M13" s="7">
        <v>10</v>
      </c>
      <c r="N13" s="8">
        <v>2.9599999999999998E-4</v>
      </c>
      <c r="O13" s="9">
        <v>1.92E-4</v>
      </c>
      <c r="Q13" s="7">
        <v>10</v>
      </c>
      <c r="R13" s="8">
        <v>2.41E-4</v>
      </c>
      <c r="S13" s="9">
        <v>1.56E-4</v>
      </c>
    </row>
    <row r="14" spans="1:19" x14ac:dyDescent="0.3">
      <c r="A14" s="10">
        <v>11</v>
      </c>
      <c r="B14" s="11">
        <v>5.9100000000000005E-4</v>
      </c>
      <c r="C14" s="12">
        <v>5.9100000000000005E-4</v>
      </c>
      <c r="E14" s="10">
        <v>11</v>
      </c>
      <c r="F14" s="11">
        <v>5.22E-4</v>
      </c>
      <c r="G14" s="12">
        <v>5.22E-4</v>
      </c>
      <c r="I14" s="10">
        <v>11</v>
      </c>
      <c r="J14" s="11">
        <v>4.6999999999999999E-4</v>
      </c>
      <c r="K14" s="12">
        <v>2.9999999999999997E-4</v>
      </c>
      <c r="M14" s="10">
        <v>11</v>
      </c>
      <c r="N14" s="11">
        <v>2.8800000000000001E-4</v>
      </c>
      <c r="O14" s="12">
        <v>1.92E-4</v>
      </c>
      <c r="Q14" s="10">
        <v>11</v>
      </c>
      <c r="R14" s="11">
        <v>2.34E-4</v>
      </c>
      <c r="S14" s="12">
        <v>1.56E-4</v>
      </c>
    </row>
    <row r="15" spans="1:19" x14ac:dyDescent="0.3">
      <c r="A15" s="10">
        <v>12</v>
      </c>
      <c r="B15" s="11">
        <v>5.9100000000000005E-4</v>
      </c>
      <c r="C15" s="12">
        <v>5.9100000000000005E-4</v>
      </c>
      <c r="E15" s="10">
        <v>12</v>
      </c>
      <c r="F15" s="11">
        <v>5.2700000000000002E-4</v>
      </c>
      <c r="G15" s="12">
        <v>5.2700000000000002E-4</v>
      </c>
      <c r="I15" s="10">
        <v>12</v>
      </c>
      <c r="J15" s="11">
        <v>4.8999999999999998E-4</v>
      </c>
      <c r="K15" s="12">
        <v>3.2000000000000003E-4</v>
      </c>
      <c r="M15" s="10">
        <v>12</v>
      </c>
      <c r="N15" s="11">
        <v>3.0400000000000002E-4</v>
      </c>
      <c r="O15" s="12">
        <v>2.1599999999999999E-4</v>
      </c>
      <c r="Q15" s="10">
        <v>12</v>
      </c>
      <c r="R15" s="11">
        <v>2.4699999999999999E-4</v>
      </c>
      <c r="S15" s="12">
        <v>1.76E-4</v>
      </c>
    </row>
    <row r="16" spans="1:19" x14ac:dyDescent="0.3">
      <c r="A16" s="10">
        <v>13</v>
      </c>
      <c r="B16" s="11">
        <v>6.4499999999999996E-4</v>
      </c>
      <c r="C16" s="12">
        <v>6.4499999999999996E-4</v>
      </c>
      <c r="E16" s="10">
        <v>13</v>
      </c>
      <c r="F16" s="11">
        <v>6.87E-4</v>
      </c>
      <c r="G16" s="12">
        <v>6.87E-4</v>
      </c>
      <c r="I16" s="10">
        <v>13</v>
      </c>
      <c r="J16" s="11">
        <v>5.5999999999999995E-4</v>
      </c>
      <c r="K16" s="12">
        <v>3.5E-4</v>
      </c>
      <c r="M16" s="10">
        <v>13</v>
      </c>
      <c r="N16" s="11">
        <v>3.7599999999999998E-4</v>
      </c>
      <c r="O16" s="12">
        <v>2.4800000000000001E-4</v>
      </c>
      <c r="Q16" s="10">
        <v>13</v>
      </c>
      <c r="R16" s="11">
        <v>3.0499999999999999E-4</v>
      </c>
      <c r="S16" s="12">
        <v>2.02E-4</v>
      </c>
    </row>
    <row r="17" spans="1:19" x14ac:dyDescent="0.3">
      <c r="A17" s="10">
        <v>14</v>
      </c>
      <c r="B17" s="11">
        <v>7.4299999999999995E-4</v>
      </c>
      <c r="C17" s="12">
        <v>7.4299999999999995E-4</v>
      </c>
      <c r="E17" s="10">
        <v>14</v>
      </c>
      <c r="F17" s="11">
        <v>8.9599999999999999E-4</v>
      </c>
      <c r="G17" s="12">
        <v>8.9599999999999999E-4</v>
      </c>
      <c r="I17" s="10">
        <v>14</v>
      </c>
      <c r="J17" s="11">
        <v>7.5900000000000002E-4</v>
      </c>
      <c r="K17" s="12">
        <v>4.2200000000000001E-4</v>
      </c>
      <c r="M17" s="10">
        <v>14</v>
      </c>
      <c r="N17" s="11">
        <v>5.2800000000000004E-4</v>
      </c>
      <c r="O17" s="12">
        <v>2.9599999999999998E-4</v>
      </c>
      <c r="Q17" s="10">
        <v>14</v>
      </c>
      <c r="R17" s="11">
        <v>4.2900000000000002E-4</v>
      </c>
      <c r="S17" s="12">
        <v>2.41E-4</v>
      </c>
    </row>
    <row r="18" spans="1:19" x14ac:dyDescent="0.3">
      <c r="A18" s="10">
        <v>15</v>
      </c>
      <c r="B18" s="11">
        <v>8.7799999999999998E-4</v>
      </c>
      <c r="C18" s="12">
        <v>8.7799999999999998E-4</v>
      </c>
      <c r="E18" s="10">
        <v>15</v>
      </c>
      <c r="F18" s="11">
        <v>1.168E-3</v>
      </c>
      <c r="G18" s="12">
        <v>1.168E-3</v>
      </c>
      <c r="I18" s="10">
        <v>15</v>
      </c>
      <c r="J18" s="11">
        <v>1.029E-3</v>
      </c>
      <c r="K18" s="12">
        <v>5.0799999999999999E-4</v>
      </c>
      <c r="M18" s="10">
        <v>15</v>
      </c>
      <c r="N18" s="11">
        <v>7.5199999999999996E-4</v>
      </c>
      <c r="O18" s="12">
        <v>3.4400000000000001E-4</v>
      </c>
      <c r="Q18" s="10">
        <v>15</v>
      </c>
      <c r="R18" s="11">
        <v>6.11E-4</v>
      </c>
      <c r="S18" s="12">
        <v>2.7999999999999998E-4</v>
      </c>
    </row>
    <row r="19" spans="1:19" x14ac:dyDescent="0.3">
      <c r="A19" s="13">
        <v>16</v>
      </c>
      <c r="B19" s="14">
        <v>1.0300000000000001E-3</v>
      </c>
      <c r="C19" s="15">
        <v>1.0300000000000001E-3</v>
      </c>
      <c r="E19" s="13">
        <v>16</v>
      </c>
      <c r="F19" s="14">
        <v>1.523E-3</v>
      </c>
      <c r="G19" s="15">
        <v>1.523E-3</v>
      </c>
      <c r="I19" s="13">
        <v>16</v>
      </c>
      <c r="J19" s="14">
        <v>1.3940000000000001E-3</v>
      </c>
      <c r="K19" s="15">
        <v>6.1200000000000002E-4</v>
      </c>
      <c r="M19" s="13">
        <v>16</v>
      </c>
      <c r="N19" s="14">
        <v>1.016E-3</v>
      </c>
      <c r="O19" s="15">
        <v>3.9199999999999999E-4</v>
      </c>
      <c r="Q19" s="13">
        <v>16</v>
      </c>
      <c r="R19" s="14">
        <v>8.2600000000000002E-4</v>
      </c>
      <c r="S19" s="15">
        <v>3.1799999999999998E-4</v>
      </c>
    </row>
    <row r="20" spans="1:19" x14ac:dyDescent="0.3">
      <c r="A20" s="10">
        <v>17</v>
      </c>
      <c r="B20" s="11">
        <v>1.173E-3</v>
      </c>
      <c r="C20" s="12">
        <v>1.173E-3</v>
      </c>
      <c r="E20" s="10">
        <v>17</v>
      </c>
      <c r="F20" s="11">
        <v>1.9849999999999998E-3</v>
      </c>
      <c r="G20" s="12">
        <v>1.9849999999999998E-3</v>
      </c>
      <c r="I20" s="10">
        <v>17</v>
      </c>
      <c r="J20" s="11">
        <v>1.89E-3</v>
      </c>
      <c r="K20" s="12">
        <v>7.3800000000000005E-4</v>
      </c>
      <c r="M20" s="10">
        <v>17</v>
      </c>
      <c r="N20" s="11">
        <v>1.2600000000000001E-3</v>
      </c>
      <c r="O20" s="12">
        <v>4.3300000000000001E-4</v>
      </c>
      <c r="Q20" s="10">
        <v>17</v>
      </c>
      <c r="R20" s="11">
        <v>1.0009999999999999E-3</v>
      </c>
      <c r="S20" s="12">
        <v>3.5100000000000002E-4</v>
      </c>
    </row>
    <row r="21" spans="1:19" x14ac:dyDescent="0.3">
      <c r="A21" s="10">
        <v>18</v>
      </c>
      <c r="B21" s="11">
        <v>1.343E-3</v>
      </c>
      <c r="C21" s="12">
        <v>1.343E-3</v>
      </c>
      <c r="E21" s="10">
        <v>18</v>
      </c>
      <c r="F21" s="11">
        <v>2.0569999999999998E-3</v>
      </c>
      <c r="G21" s="12">
        <v>2.0569999999999998E-3</v>
      </c>
      <c r="I21" s="10">
        <v>18</v>
      </c>
      <c r="J21" s="11">
        <v>2.0339999999999998E-3</v>
      </c>
      <c r="K21" s="12">
        <v>7.8600000000000002E-4</v>
      </c>
      <c r="M21" s="10">
        <v>18</v>
      </c>
      <c r="N21" s="11">
        <v>1.2880000000000001E-3</v>
      </c>
      <c r="O21" s="12">
        <v>4.8099999999999998E-4</v>
      </c>
      <c r="Q21" s="10">
        <v>18</v>
      </c>
      <c r="R21" s="11">
        <v>1.0660000000000001E-3</v>
      </c>
      <c r="S21" s="12">
        <v>3.8400000000000001E-4</v>
      </c>
    </row>
    <row r="22" spans="1:19" x14ac:dyDescent="0.3">
      <c r="A22" s="10">
        <v>19</v>
      </c>
      <c r="B22" s="11">
        <v>1.495E-3</v>
      </c>
      <c r="C22" s="12">
        <v>1.495E-3</v>
      </c>
      <c r="E22" s="10">
        <v>19</v>
      </c>
      <c r="F22" s="11">
        <v>2E-3</v>
      </c>
      <c r="G22" s="12">
        <v>2E-3</v>
      </c>
      <c r="I22" s="10">
        <v>19</v>
      </c>
      <c r="J22" s="11">
        <v>2.1229999999999999E-3</v>
      </c>
      <c r="K22" s="12">
        <v>8.1800000000000004E-4</v>
      </c>
      <c r="M22" s="10">
        <v>19</v>
      </c>
      <c r="N22" s="11">
        <v>1.305E-3</v>
      </c>
      <c r="O22" s="12">
        <v>5.13E-4</v>
      </c>
      <c r="Q22" s="10">
        <v>19</v>
      </c>
      <c r="R22" s="11">
        <v>1.0269999999999999E-3</v>
      </c>
      <c r="S22" s="12">
        <v>3.8999999999999999E-4</v>
      </c>
    </row>
    <row r="23" spans="1:19" x14ac:dyDescent="0.3">
      <c r="A23" s="7">
        <v>20</v>
      </c>
      <c r="B23" s="8">
        <v>1.603E-3</v>
      </c>
      <c r="C23" s="9">
        <v>1.603E-3</v>
      </c>
      <c r="E23" s="7">
        <v>20</v>
      </c>
      <c r="F23" s="8">
        <v>1.9469999999999999E-3</v>
      </c>
      <c r="G23" s="9">
        <v>1.9469999999999999E-3</v>
      </c>
      <c r="I23" s="7">
        <v>20</v>
      </c>
      <c r="J23" s="8">
        <v>2.1640000000000001E-3</v>
      </c>
      <c r="K23" s="9">
        <v>8.3799999999999999E-4</v>
      </c>
      <c r="M23" s="7">
        <v>20</v>
      </c>
      <c r="N23" s="8">
        <v>1.3129999999999999E-3</v>
      </c>
      <c r="O23" s="9">
        <v>5.2999999999999998E-4</v>
      </c>
      <c r="Q23" s="7">
        <v>20</v>
      </c>
      <c r="R23" s="8">
        <v>9.6199999999999996E-4</v>
      </c>
      <c r="S23" s="9">
        <v>3.8999999999999999E-4</v>
      </c>
    </row>
    <row r="24" spans="1:19" x14ac:dyDescent="0.3">
      <c r="A24" s="10">
        <v>21</v>
      </c>
      <c r="B24" s="11">
        <v>1.766E-3</v>
      </c>
      <c r="C24" s="12">
        <v>1.766E-3</v>
      </c>
      <c r="E24" s="10">
        <v>21</v>
      </c>
      <c r="F24" s="11">
        <v>1.892E-3</v>
      </c>
      <c r="G24" s="12">
        <v>1.892E-3</v>
      </c>
      <c r="I24" s="10">
        <v>21</v>
      </c>
      <c r="J24" s="11">
        <v>2.166E-3</v>
      </c>
      <c r="K24" s="12">
        <v>8.4900000000000004E-4</v>
      </c>
      <c r="M24" s="10">
        <v>21</v>
      </c>
      <c r="N24" s="11">
        <v>1.315E-3</v>
      </c>
      <c r="O24" s="12">
        <v>5.3600000000000002E-4</v>
      </c>
      <c r="Q24" s="10">
        <v>21</v>
      </c>
      <c r="R24" s="11">
        <v>9.3000000000000005E-4</v>
      </c>
      <c r="S24" s="12">
        <v>3.8999999999999999E-4</v>
      </c>
    </row>
    <row r="25" spans="1:19" x14ac:dyDescent="0.3">
      <c r="A25" s="10">
        <v>22</v>
      </c>
      <c r="B25" s="11">
        <v>1.8810000000000001E-3</v>
      </c>
      <c r="C25" s="12">
        <v>1.8810000000000001E-3</v>
      </c>
      <c r="E25" s="10">
        <v>22</v>
      </c>
      <c r="F25" s="11">
        <v>1.8339999999999999E-3</v>
      </c>
      <c r="G25" s="12">
        <v>1.8339999999999999E-3</v>
      </c>
      <c r="I25" s="10">
        <v>22</v>
      </c>
      <c r="J25" s="11">
        <v>2.137E-3</v>
      </c>
      <c r="K25" s="12">
        <v>8.5499999999999997E-4</v>
      </c>
      <c r="M25" s="10">
        <v>22</v>
      </c>
      <c r="N25" s="11">
        <v>1.312E-3</v>
      </c>
      <c r="O25" s="12">
        <v>5.3300000000000005E-4</v>
      </c>
      <c r="Q25" s="10">
        <v>22</v>
      </c>
      <c r="R25" s="11">
        <v>9.5500000000000001E-4</v>
      </c>
      <c r="S25" s="12">
        <v>3.8999999999999999E-4</v>
      </c>
    </row>
    <row r="26" spans="1:19" x14ac:dyDescent="0.3">
      <c r="A26" s="10">
        <v>23</v>
      </c>
      <c r="B26" s="11">
        <v>1.9550000000000001E-3</v>
      </c>
      <c r="C26" s="12">
        <v>1.9550000000000001E-3</v>
      </c>
      <c r="E26" s="10">
        <v>23</v>
      </c>
      <c r="F26" s="11">
        <v>1.8010000000000001E-3</v>
      </c>
      <c r="G26" s="12">
        <v>1.8010000000000001E-3</v>
      </c>
      <c r="I26" s="10">
        <v>23</v>
      </c>
      <c r="J26" s="11">
        <v>2.085E-3</v>
      </c>
      <c r="K26" s="12">
        <v>8.5999999999999998E-4</v>
      </c>
      <c r="M26" s="10">
        <v>23</v>
      </c>
      <c r="N26" s="11">
        <v>1.307E-3</v>
      </c>
      <c r="O26" s="12">
        <v>5.2499999999999997E-4</v>
      </c>
      <c r="Q26" s="10">
        <v>23</v>
      </c>
      <c r="R26" s="11">
        <v>1.0269999999999999E-3</v>
      </c>
      <c r="S26" s="12">
        <v>4.0299999999999998E-4</v>
      </c>
    </row>
    <row r="27" spans="1:19" x14ac:dyDescent="0.3">
      <c r="A27" s="10">
        <v>24</v>
      </c>
      <c r="B27" s="11">
        <v>2.0119999999999999E-3</v>
      </c>
      <c r="C27" s="12">
        <v>2.0119999999999999E-3</v>
      </c>
      <c r="E27" s="10">
        <v>24</v>
      </c>
      <c r="F27" s="11">
        <v>1.7700000000000001E-3</v>
      </c>
      <c r="G27" s="12">
        <v>1.7700000000000001E-3</v>
      </c>
      <c r="I27" s="10">
        <v>24</v>
      </c>
      <c r="J27" s="11">
        <v>2.019E-3</v>
      </c>
      <c r="K27" s="12">
        <v>8.7000000000000001E-4</v>
      </c>
      <c r="M27" s="10">
        <v>24</v>
      </c>
      <c r="N27" s="11">
        <v>1.3010000000000001E-3</v>
      </c>
      <c r="O27" s="12">
        <v>5.1500000000000005E-4</v>
      </c>
      <c r="Q27" s="10">
        <v>24</v>
      </c>
      <c r="R27" s="11">
        <v>1.0920000000000001E-3</v>
      </c>
      <c r="S27" s="12">
        <v>4.2200000000000001E-4</v>
      </c>
    </row>
    <row r="28" spans="1:19" x14ac:dyDescent="0.3">
      <c r="A28" s="10">
        <v>25</v>
      </c>
      <c r="B28" s="11">
        <v>2.0639999999999999E-3</v>
      </c>
      <c r="C28" s="12">
        <v>2.0639999999999999E-3</v>
      </c>
      <c r="E28" s="10">
        <v>25</v>
      </c>
      <c r="F28" s="11">
        <v>1.7539999999999999E-3</v>
      </c>
      <c r="G28" s="12">
        <v>1.7539999999999999E-3</v>
      </c>
      <c r="I28" s="10">
        <v>25</v>
      </c>
      <c r="J28" s="11">
        <v>1.9480000000000001E-3</v>
      </c>
      <c r="K28" s="12">
        <v>8.8999999999999995E-4</v>
      </c>
      <c r="M28" s="10">
        <v>25</v>
      </c>
      <c r="N28" s="11">
        <v>1.2979999999999999E-3</v>
      </c>
      <c r="O28" s="12">
        <v>5.0699999999999996E-4</v>
      </c>
      <c r="Q28" s="10">
        <v>25</v>
      </c>
      <c r="R28" s="11">
        <v>1.1180000000000001E-3</v>
      </c>
      <c r="S28" s="12">
        <v>4.3600000000000003E-4</v>
      </c>
    </row>
    <row r="29" spans="1:19" x14ac:dyDescent="0.3">
      <c r="A29" s="13">
        <v>26</v>
      </c>
      <c r="B29" s="14">
        <v>2.1199999999999999E-3</v>
      </c>
      <c r="C29" s="15">
        <v>2.1199999999999999E-3</v>
      </c>
      <c r="E29" s="13">
        <v>26</v>
      </c>
      <c r="F29" s="14">
        <v>1.761E-3</v>
      </c>
      <c r="G29" s="15">
        <v>1.761E-3</v>
      </c>
      <c r="I29" s="13">
        <v>26</v>
      </c>
      <c r="J29" s="14">
        <v>1.882E-3</v>
      </c>
      <c r="K29" s="15">
        <v>9.2599999999999996E-4</v>
      </c>
      <c r="M29" s="13">
        <v>26</v>
      </c>
      <c r="N29" s="14">
        <v>1.299E-3</v>
      </c>
      <c r="O29" s="15">
        <v>5.04E-4</v>
      </c>
      <c r="Q29" s="13">
        <v>26</v>
      </c>
      <c r="R29" s="14">
        <v>1.1310000000000001E-3</v>
      </c>
      <c r="S29" s="15">
        <v>4.4900000000000002E-4</v>
      </c>
    </row>
    <row r="30" spans="1:19" x14ac:dyDescent="0.3">
      <c r="A30" s="10">
        <v>27</v>
      </c>
      <c r="B30" s="11">
        <v>2.1919999999999999E-3</v>
      </c>
      <c r="C30" s="12">
        <v>2.1919999999999999E-3</v>
      </c>
      <c r="E30" s="10">
        <v>27</v>
      </c>
      <c r="F30" s="11">
        <v>1.7899999999999999E-3</v>
      </c>
      <c r="G30" s="12">
        <v>1.7899999999999999E-3</v>
      </c>
      <c r="I30" s="10">
        <v>27</v>
      </c>
      <c r="J30" s="11">
        <v>1.83E-3</v>
      </c>
      <c r="K30" s="12">
        <v>9.8200000000000002E-4</v>
      </c>
      <c r="M30" s="10">
        <v>27</v>
      </c>
      <c r="N30" s="11">
        <v>1.307E-3</v>
      </c>
      <c r="O30" s="12">
        <v>5.1000000000000004E-4</v>
      </c>
      <c r="Q30" s="10">
        <v>27</v>
      </c>
      <c r="R30" s="11">
        <v>1.1440000000000001E-3</v>
      </c>
      <c r="S30" s="12">
        <v>4.6799999999999999E-4</v>
      </c>
    </row>
    <row r="31" spans="1:19" x14ac:dyDescent="0.3">
      <c r="A31" s="10">
        <v>28</v>
      </c>
      <c r="B31" s="11">
        <v>2.2859999999999998E-3</v>
      </c>
      <c r="C31" s="12">
        <v>2.2859999999999998E-3</v>
      </c>
      <c r="E31" s="10">
        <v>28</v>
      </c>
      <c r="F31" s="11">
        <v>1.81E-3</v>
      </c>
      <c r="G31" s="12">
        <v>1.81E-3</v>
      </c>
      <c r="I31" s="10">
        <v>28</v>
      </c>
      <c r="J31" s="11">
        <v>1.799E-3</v>
      </c>
      <c r="K31" s="12">
        <v>1.0629999999999999E-3</v>
      </c>
      <c r="M31" s="10">
        <v>28</v>
      </c>
      <c r="N31" s="11">
        <v>1.323E-3</v>
      </c>
      <c r="O31" s="12">
        <v>5.2700000000000002E-4</v>
      </c>
      <c r="Q31" s="10">
        <v>28</v>
      </c>
      <c r="R31" s="11">
        <v>1.1640000000000001E-3</v>
      </c>
      <c r="S31" s="12">
        <v>4.9399999999999997E-4</v>
      </c>
    </row>
    <row r="32" spans="1:19" x14ac:dyDescent="0.3">
      <c r="A32" s="10">
        <v>29</v>
      </c>
      <c r="B32" s="11">
        <v>2.3930000000000002E-3</v>
      </c>
      <c r="C32" s="12">
        <v>2.3930000000000002E-3</v>
      </c>
      <c r="E32" s="10">
        <v>29</v>
      </c>
      <c r="F32" s="11">
        <v>1.8439999999999999E-3</v>
      </c>
      <c r="G32" s="12">
        <v>1.8439999999999999E-3</v>
      </c>
      <c r="I32" s="10">
        <v>29</v>
      </c>
      <c r="J32" s="11">
        <v>1.7930000000000001E-3</v>
      </c>
      <c r="K32" s="12">
        <v>1.1590000000000001E-3</v>
      </c>
      <c r="M32" s="10">
        <v>29</v>
      </c>
      <c r="N32" s="11">
        <v>1.351E-3</v>
      </c>
      <c r="O32" s="12">
        <v>5.5599999999999996E-4</v>
      </c>
      <c r="Q32" s="10">
        <v>29</v>
      </c>
      <c r="R32" s="11">
        <v>1.1900000000000001E-3</v>
      </c>
      <c r="S32" s="12">
        <v>5.0699999999999996E-4</v>
      </c>
    </row>
    <row r="33" spans="1:19" x14ac:dyDescent="0.3">
      <c r="A33" s="7">
        <v>30</v>
      </c>
      <c r="B33" s="8">
        <v>2.5010000000000002E-3</v>
      </c>
      <c r="C33" s="9">
        <v>2.5010000000000002E-3</v>
      </c>
      <c r="E33" s="7">
        <v>30</v>
      </c>
      <c r="F33" s="8">
        <v>1.8990000000000001E-3</v>
      </c>
      <c r="G33" s="9">
        <v>1.8990000000000001E-3</v>
      </c>
      <c r="I33" s="7">
        <v>30</v>
      </c>
      <c r="J33" s="8">
        <v>1.8129999999999999E-3</v>
      </c>
      <c r="K33" s="9">
        <v>1.2589999999999999E-3</v>
      </c>
      <c r="M33" s="7">
        <v>30</v>
      </c>
      <c r="N33" s="8">
        <v>1.3929999999999999E-3</v>
      </c>
      <c r="O33" s="9">
        <v>5.9299999999999999E-4</v>
      </c>
      <c r="Q33" s="7">
        <v>30</v>
      </c>
      <c r="R33" s="8">
        <v>1.235E-3</v>
      </c>
      <c r="S33" s="9">
        <v>5.1400000000000003E-4</v>
      </c>
    </row>
    <row r="34" spans="1:19" x14ac:dyDescent="0.3">
      <c r="A34" s="10">
        <v>31</v>
      </c>
      <c r="B34" s="11">
        <v>2.594E-3</v>
      </c>
      <c r="C34" s="12">
        <v>2.594E-3</v>
      </c>
      <c r="E34" s="10">
        <v>31</v>
      </c>
      <c r="F34" s="11">
        <v>1.9810000000000001E-3</v>
      </c>
      <c r="G34" s="12">
        <v>1.9810000000000001E-3</v>
      </c>
      <c r="I34" s="10">
        <v>31</v>
      </c>
      <c r="J34" s="11">
        <v>1.8619999999999999E-3</v>
      </c>
      <c r="K34" s="12">
        <v>1.353E-3</v>
      </c>
      <c r="M34" s="10">
        <v>31</v>
      </c>
      <c r="N34" s="11">
        <v>1.4519999999999999E-3</v>
      </c>
      <c r="O34" s="12">
        <v>6.38E-4</v>
      </c>
      <c r="Q34" s="10">
        <v>31</v>
      </c>
      <c r="R34" s="11">
        <v>1.294E-3</v>
      </c>
      <c r="S34" s="12">
        <v>5.3300000000000005E-4</v>
      </c>
    </row>
    <row r="35" spans="1:19" x14ac:dyDescent="0.3">
      <c r="A35" s="10">
        <v>32</v>
      </c>
      <c r="B35" s="11">
        <v>2.6610000000000002E-3</v>
      </c>
      <c r="C35" s="12">
        <v>2.6610000000000002E-3</v>
      </c>
      <c r="E35" s="10">
        <v>32</v>
      </c>
      <c r="F35" s="11">
        <v>2.0939999999999999E-3</v>
      </c>
      <c r="G35" s="12">
        <v>2.0939999999999999E-3</v>
      </c>
      <c r="I35" s="10">
        <v>32</v>
      </c>
      <c r="J35" s="11">
        <v>1.941E-3</v>
      </c>
      <c r="K35" s="12">
        <v>1.428E-3</v>
      </c>
      <c r="M35" s="10">
        <v>32</v>
      </c>
      <c r="N35" s="11">
        <v>1.5299999999999999E-3</v>
      </c>
      <c r="O35" s="12">
        <v>6.8800000000000003E-4</v>
      </c>
      <c r="Q35" s="10">
        <v>32</v>
      </c>
      <c r="R35" s="11">
        <v>1.3450000000000001E-3</v>
      </c>
      <c r="S35" s="12">
        <v>5.6599999999999999E-4</v>
      </c>
    </row>
    <row r="36" spans="1:19" x14ac:dyDescent="0.3">
      <c r="A36" s="10">
        <v>33</v>
      </c>
      <c r="B36" s="11">
        <v>2.6970000000000002E-3</v>
      </c>
      <c r="C36" s="12">
        <v>2.6970000000000002E-3</v>
      </c>
      <c r="E36" s="10">
        <v>33</v>
      </c>
      <c r="F36" s="11">
        <v>2.2420000000000001E-3</v>
      </c>
      <c r="G36" s="12">
        <v>2.2420000000000001E-3</v>
      </c>
      <c r="I36" s="10">
        <v>33</v>
      </c>
      <c r="J36" s="11">
        <v>2.0509999999999999E-3</v>
      </c>
      <c r="K36" s="12">
        <v>1.4790000000000001E-3</v>
      </c>
      <c r="M36" s="10">
        <v>33</v>
      </c>
      <c r="N36" s="11">
        <v>1.6299999999999999E-3</v>
      </c>
      <c r="O36" s="12">
        <v>7.4299999999999995E-4</v>
      </c>
      <c r="Q36" s="10">
        <v>33</v>
      </c>
      <c r="R36" s="11">
        <v>1.3979999999999999E-3</v>
      </c>
      <c r="S36" s="12">
        <v>6.11E-4</v>
      </c>
    </row>
    <row r="37" spans="1:19" x14ac:dyDescent="0.3">
      <c r="A37" s="10">
        <v>34</v>
      </c>
      <c r="B37" s="11">
        <v>2.738E-3</v>
      </c>
      <c r="C37" s="12">
        <v>2.738E-3</v>
      </c>
      <c r="E37" s="10">
        <v>34</v>
      </c>
      <c r="F37" s="11">
        <v>2.4229999999999998E-3</v>
      </c>
      <c r="G37" s="12">
        <v>2.4229999999999998E-3</v>
      </c>
      <c r="I37" s="10">
        <v>34</v>
      </c>
      <c r="J37" s="11">
        <v>2.1900000000000001E-3</v>
      </c>
      <c r="K37" s="12">
        <v>1.516E-3</v>
      </c>
      <c r="M37" s="10">
        <v>34</v>
      </c>
      <c r="N37" s="11">
        <v>1.75E-3</v>
      </c>
      <c r="O37" s="12">
        <v>8.0199999999999998E-4</v>
      </c>
      <c r="Q37" s="10">
        <v>34</v>
      </c>
      <c r="R37" s="11">
        <v>1.456E-3</v>
      </c>
      <c r="S37" s="12">
        <v>6.4300000000000002E-4</v>
      </c>
    </row>
    <row r="38" spans="1:19" x14ac:dyDescent="0.3">
      <c r="A38" s="10">
        <v>35</v>
      </c>
      <c r="B38" s="11">
        <v>2.8270000000000001E-3</v>
      </c>
      <c r="C38" s="12">
        <v>2.8270000000000001E-3</v>
      </c>
      <c r="E38" s="10">
        <v>35</v>
      </c>
      <c r="F38" s="11">
        <v>2.6319999999999998E-3</v>
      </c>
      <c r="G38" s="12">
        <v>2.6319999999999998E-3</v>
      </c>
      <c r="I38" s="10">
        <v>35</v>
      </c>
      <c r="J38" s="11">
        <v>2.3540000000000002E-3</v>
      </c>
      <c r="K38" s="12">
        <v>1.5510000000000001E-3</v>
      </c>
      <c r="M38" s="10">
        <v>35</v>
      </c>
      <c r="N38" s="11">
        <v>1.8860000000000001E-3</v>
      </c>
      <c r="O38" s="12">
        <v>8.6499999999999999E-4</v>
      </c>
      <c r="Q38" s="10">
        <v>35</v>
      </c>
      <c r="R38" s="11">
        <v>1.5410000000000001E-3</v>
      </c>
      <c r="S38" s="12">
        <v>6.7000000000000002E-4</v>
      </c>
    </row>
    <row r="39" spans="1:19" x14ac:dyDescent="0.3">
      <c r="A39" s="13">
        <v>36</v>
      </c>
      <c r="B39" s="14">
        <v>3.0100000000000001E-3</v>
      </c>
      <c r="C39" s="15">
        <v>3.0100000000000001E-3</v>
      </c>
      <c r="E39" s="13">
        <v>36</v>
      </c>
      <c r="F39" s="14">
        <v>2.862E-3</v>
      </c>
      <c r="G39" s="15">
        <v>2.862E-3</v>
      </c>
      <c r="I39" s="13">
        <v>36</v>
      </c>
      <c r="J39" s="14">
        <v>2.539E-3</v>
      </c>
      <c r="K39" s="15">
        <v>1.5989999999999999E-3</v>
      </c>
      <c r="M39" s="13">
        <v>36</v>
      </c>
      <c r="N39" s="14">
        <v>2.0370000000000002E-3</v>
      </c>
      <c r="O39" s="15">
        <v>9.3099999999999997E-4</v>
      </c>
      <c r="Q39" s="13">
        <v>36</v>
      </c>
      <c r="R39" s="14">
        <v>1.6249999999999999E-3</v>
      </c>
      <c r="S39" s="15">
        <v>7.0200000000000004E-4</v>
      </c>
    </row>
    <row r="40" spans="1:19" x14ac:dyDescent="0.3">
      <c r="A40" s="10">
        <v>37</v>
      </c>
      <c r="B40" s="11">
        <v>3.3310000000000002E-3</v>
      </c>
      <c r="C40" s="12">
        <v>3.3310000000000002E-3</v>
      </c>
      <c r="E40" s="10">
        <v>37</v>
      </c>
      <c r="F40" s="11">
        <v>3.107E-3</v>
      </c>
      <c r="G40" s="12">
        <v>3.107E-3</v>
      </c>
      <c r="I40" s="10">
        <v>37</v>
      </c>
      <c r="J40" s="11">
        <v>2.7420000000000001E-3</v>
      </c>
      <c r="K40" s="12">
        <v>1.6750000000000001E-3</v>
      </c>
      <c r="M40" s="10">
        <v>37</v>
      </c>
      <c r="N40" s="11">
        <v>2.2009999999999998E-3</v>
      </c>
      <c r="O40" s="12">
        <v>1.0009999999999999E-3</v>
      </c>
      <c r="Q40" s="10">
        <v>37</v>
      </c>
      <c r="R40" s="11">
        <v>1.7359999999999999E-3</v>
      </c>
      <c r="S40" s="12">
        <v>7.6000000000000004E-4</v>
      </c>
    </row>
    <row r="41" spans="1:19" x14ac:dyDescent="0.3">
      <c r="A41" s="10">
        <v>38</v>
      </c>
      <c r="B41" s="11">
        <v>3.8149999999999998E-3</v>
      </c>
      <c r="C41" s="12">
        <v>3.8149999999999998E-3</v>
      </c>
      <c r="E41" s="10">
        <v>38</v>
      </c>
      <c r="F41" s="11">
        <v>3.3660000000000001E-3</v>
      </c>
      <c r="G41" s="12">
        <v>3.3660000000000001E-3</v>
      </c>
      <c r="I41" s="10">
        <v>38</v>
      </c>
      <c r="J41" s="11">
        <v>2.9610000000000001E-3</v>
      </c>
      <c r="K41" s="12">
        <v>1.789E-3</v>
      </c>
      <c r="M41" s="10">
        <v>38</v>
      </c>
      <c r="N41" s="11">
        <v>2.3739999999999998E-3</v>
      </c>
      <c r="O41" s="12">
        <v>1.0740000000000001E-3</v>
      </c>
      <c r="Q41" s="10">
        <v>38</v>
      </c>
      <c r="R41" s="11">
        <v>1.8389999999999999E-3</v>
      </c>
      <c r="S41" s="12">
        <v>8.2600000000000002E-4</v>
      </c>
    </row>
    <row r="42" spans="1:19" x14ac:dyDescent="0.3">
      <c r="A42" s="10">
        <v>39</v>
      </c>
      <c r="B42" s="11">
        <v>4.411E-3</v>
      </c>
      <c r="C42" s="12">
        <v>4.411E-3</v>
      </c>
      <c r="E42" s="10">
        <v>39</v>
      </c>
      <c r="F42" s="11">
        <v>3.6459999999999999E-3</v>
      </c>
      <c r="G42" s="12">
        <v>3.6459999999999999E-3</v>
      </c>
      <c r="I42" s="10">
        <v>39</v>
      </c>
      <c r="J42" s="11">
        <v>3.202E-3</v>
      </c>
      <c r="K42" s="12">
        <v>1.944E-3</v>
      </c>
      <c r="M42" s="10">
        <v>39</v>
      </c>
      <c r="N42" s="11">
        <v>2.5600000000000002E-3</v>
      </c>
      <c r="O42" s="12">
        <v>1.1529999999999999E-3</v>
      </c>
      <c r="Q42" s="10">
        <v>39</v>
      </c>
      <c r="R42" s="11">
        <v>1.9629999999999999E-3</v>
      </c>
      <c r="S42" s="12">
        <v>8.9099999999999997E-4</v>
      </c>
    </row>
    <row r="43" spans="1:19" x14ac:dyDescent="0.3">
      <c r="A43" s="7">
        <v>40</v>
      </c>
      <c r="B43" s="8">
        <v>5.0499999999999998E-3</v>
      </c>
      <c r="C43" s="9">
        <v>5.0499999999999998E-3</v>
      </c>
      <c r="E43" s="7">
        <v>40</v>
      </c>
      <c r="F43" s="8">
        <v>3.96E-3</v>
      </c>
      <c r="G43" s="9">
        <v>3.96E-3</v>
      </c>
      <c r="I43" s="7">
        <v>40</v>
      </c>
      <c r="J43" s="8">
        <v>3.4719999999999998E-3</v>
      </c>
      <c r="K43" s="9">
        <v>2.1380000000000001E-3</v>
      </c>
      <c r="M43" s="7">
        <v>40</v>
      </c>
      <c r="N43" s="8">
        <v>2.761E-3</v>
      </c>
      <c r="O43" s="9">
        <v>1.24E-3</v>
      </c>
      <c r="Q43" s="7">
        <v>40</v>
      </c>
      <c r="R43" s="8">
        <v>2.0990000000000002E-3</v>
      </c>
      <c r="S43" s="9">
        <v>9.4200000000000002E-4</v>
      </c>
    </row>
    <row r="44" spans="1:19" x14ac:dyDescent="0.3">
      <c r="A44" s="10">
        <v>41</v>
      </c>
      <c r="B44" s="11">
        <v>5.6610000000000002E-3</v>
      </c>
      <c r="C44" s="12">
        <v>5.6610000000000002E-3</v>
      </c>
      <c r="E44" s="10">
        <v>41</v>
      </c>
      <c r="F44" s="11">
        <v>4.3189999999999999E-3</v>
      </c>
      <c r="G44" s="12">
        <v>4.3189999999999999E-3</v>
      </c>
      <c r="I44" s="10">
        <v>41</v>
      </c>
      <c r="J44" s="11">
        <v>3.7789999999999998E-3</v>
      </c>
      <c r="K44" s="12">
        <v>2.3709999999999998E-3</v>
      </c>
      <c r="M44" s="10">
        <v>41</v>
      </c>
      <c r="N44" s="11">
        <v>2.98E-3</v>
      </c>
      <c r="O44" s="12">
        <v>1.3359999999999999E-3</v>
      </c>
      <c r="Q44" s="10">
        <v>41</v>
      </c>
      <c r="R44" s="11">
        <v>2.2430000000000002E-3</v>
      </c>
      <c r="S44" s="12">
        <v>9.7499999999999996E-4</v>
      </c>
    </row>
    <row r="45" spans="1:19" x14ac:dyDescent="0.3">
      <c r="A45" s="10">
        <v>42</v>
      </c>
      <c r="B45" s="11">
        <v>6.1739999999999998E-3</v>
      </c>
      <c r="C45" s="12">
        <v>6.1739999999999998E-3</v>
      </c>
      <c r="E45" s="10">
        <v>42</v>
      </c>
      <c r="F45" s="11">
        <v>4.7390000000000002E-3</v>
      </c>
      <c r="G45" s="12">
        <v>4.7390000000000002E-3</v>
      </c>
      <c r="I45" s="10">
        <v>42</v>
      </c>
      <c r="J45" s="11">
        <v>4.1289999999999999E-3</v>
      </c>
      <c r="K45" s="12">
        <v>2.6410000000000001E-3</v>
      </c>
      <c r="M45" s="10">
        <v>42</v>
      </c>
      <c r="N45" s="11">
        <v>3.2200000000000002E-3</v>
      </c>
      <c r="O45" s="12">
        <v>1.4450000000000001E-3</v>
      </c>
      <c r="Q45" s="10">
        <v>42</v>
      </c>
      <c r="R45" s="11">
        <v>2.4250000000000001E-3</v>
      </c>
      <c r="S45" s="12">
        <v>1.034E-3</v>
      </c>
    </row>
    <row r="46" spans="1:19" x14ac:dyDescent="0.3">
      <c r="A46" s="10">
        <v>43</v>
      </c>
      <c r="B46" s="11">
        <v>6.5409999999999999E-3</v>
      </c>
      <c r="C46" s="12">
        <v>6.5409999999999999E-3</v>
      </c>
      <c r="E46" s="10">
        <v>43</v>
      </c>
      <c r="F46" s="11">
        <v>5.2259999999999997E-3</v>
      </c>
      <c r="G46" s="12">
        <v>5.2259999999999997E-3</v>
      </c>
      <c r="I46" s="10">
        <v>43</v>
      </c>
      <c r="J46" s="11">
        <v>4.5269999999999998E-3</v>
      </c>
      <c r="K46" s="12">
        <v>2.947E-3</v>
      </c>
      <c r="M46" s="10">
        <v>43</v>
      </c>
      <c r="N46" s="11">
        <v>3.4840000000000001E-3</v>
      </c>
      <c r="O46" s="12">
        <v>1.567E-3</v>
      </c>
      <c r="Q46" s="10">
        <v>43</v>
      </c>
      <c r="R46" s="11">
        <v>2.6979999999999999E-3</v>
      </c>
      <c r="S46" s="12">
        <v>1.1440000000000001E-3</v>
      </c>
    </row>
    <row r="47" spans="1:19" x14ac:dyDescent="0.3">
      <c r="A47" s="10">
        <v>44</v>
      </c>
      <c r="B47" s="11">
        <v>6.8089999999999999E-3</v>
      </c>
      <c r="C47" s="12">
        <v>6.8089999999999999E-3</v>
      </c>
      <c r="E47" s="10">
        <v>44</v>
      </c>
      <c r="F47" s="11">
        <v>5.764E-3</v>
      </c>
      <c r="G47" s="12">
        <v>5.764E-3</v>
      </c>
      <c r="I47" s="10">
        <v>44</v>
      </c>
      <c r="J47" s="11">
        <v>4.9620000000000003E-3</v>
      </c>
      <c r="K47" s="12">
        <v>3.2799999999999999E-3</v>
      </c>
      <c r="M47" s="10">
        <v>44</v>
      </c>
      <c r="N47" s="11">
        <v>3.771E-3</v>
      </c>
      <c r="O47" s="12">
        <v>1.707E-3</v>
      </c>
      <c r="Q47" s="10">
        <v>44</v>
      </c>
      <c r="R47" s="11">
        <v>3.0230000000000001E-3</v>
      </c>
      <c r="S47" s="12">
        <v>1.307E-3</v>
      </c>
    </row>
    <row r="48" spans="1:19" x14ac:dyDescent="0.3">
      <c r="A48" s="10">
        <v>45</v>
      </c>
      <c r="B48" s="11">
        <v>7.0419999999999996E-3</v>
      </c>
      <c r="C48" s="12">
        <v>7.0419999999999996E-3</v>
      </c>
      <c r="E48" s="10">
        <v>45</v>
      </c>
      <c r="F48" s="11">
        <v>6.3400000000000001E-3</v>
      </c>
      <c r="G48" s="12">
        <v>6.3400000000000001E-3</v>
      </c>
      <c r="I48" s="10">
        <v>45</v>
      </c>
      <c r="J48" s="11">
        <v>5.4200000000000003E-3</v>
      </c>
      <c r="K48" s="12">
        <v>3.6329999999999999E-3</v>
      </c>
      <c r="M48" s="10">
        <v>45</v>
      </c>
      <c r="N48" s="11">
        <v>4.084E-3</v>
      </c>
      <c r="O48" s="12">
        <v>1.867E-3</v>
      </c>
      <c r="Q48" s="10">
        <v>45</v>
      </c>
      <c r="R48" s="11">
        <v>3.3349999999999999E-3</v>
      </c>
      <c r="S48" s="12">
        <v>1.4760000000000001E-3</v>
      </c>
    </row>
    <row r="49" spans="1:19" x14ac:dyDescent="0.3">
      <c r="A49" s="13">
        <v>46</v>
      </c>
      <c r="B49" s="14">
        <v>7.3099999999999997E-3</v>
      </c>
      <c r="C49" s="15">
        <v>7.3099999999999997E-3</v>
      </c>
      <c r="E49" s="13">
        <v>46</v>
      </c>
      <c r="F49" s="14">
        <v>6.9329999999999999E-3</v>
      </c>
      <c r="G49" s="15">
        <v>6.9329999999999999E-3</v>
      </c>
      <c r="I49" s="13">
        <v>46</v>
      </c>
      <c r="J49" s="14">
        <v>5.8859999999999997E-3</v>
      </c>
      <c r="K49" s="15">
        <v>3.9969999999999997E-3</v>
      </c>
      <c r="M49" s="13">
        <v>46</v>
      </c>
      <c r="N49" s="14">
        <v>4.4209999999999996E-3</v>
      </c>
      <c r="O49" s="15">
        <v>2.049E-3</v>
      </c>
      <c r="Q49" s="13">
        <v>46</v>
      </c>
      <c r="R49" s="14">
        <v>3.6080000000000001E-3</v>
      </c>
      <c r="S49" s="15">
        <v>1.645E-3</v>
      </c>
    </row>
    <row r="50" spans="1:19" x14ac:dyDescent="0.3">
      <c r="A50" s="10">
        <v>47</v>
      </c>
      <c r="B50" s="11">
        <v>7.6779999999999999E-3</v>
      </c>
      <c r="C50" s="12">
        <v>7.6779999999999999E-3</v>
      </c>
      <c r="E50" s="10">
        <v>47</v>
      </c>
      <c r="F50" s="11">
        <v>7.5259999999999997E-3</v>
      </c>
      <c r="G50" s="12">
        <v>7.5259999999999997E-3</v>
      </c>
      <c r="I50" s="10">
        <v>47</v>
      </c>
      <c r="J50" s="11">
        <v>6.3460000000000001E-3</v>
      </c>
      <c r="K50" s="12">
        <v>4.3620000000000004E-3</v>
      </c>
      <c r="M50" s="10">
        <v>47</v>
      </c>
      <c r="N50" s="11">
        <v>4.7840000000000001E-3</v>
      </c>
      <c r="O50" s="12">
        <v>2.2569999999999999E-3</v>
      </c>
      <c r="Q50" s="10">
        <v>47</v>
      </c>
      <c r="R50" s="11">
        <v>3.8419999999999999E-3</v>
      </c>
      <c r="S50" s="12">
        <v>1.7880000000000001E-3</v>
      </c>
    </row>
    <row r="51" spans="1:19" x14ac:dyDescent="0.3">
      <c r="A51" s="10">
        <v>48</v>
      </c>
      <c r="B51" s="11">
        <v>8.2000000000000007E-3</v>
      </c>
      <c r="C51" s="12">
        <v>8.2000000000000007E-3</v>
      </c>
      <c r="E51" s="10">
        <v>48</v>
      </c>
      <c r="F51" s="11">
        <v>8.1010000000000006E-3</v>
      </c>
      <c r="G51" s="12">
        <v>8.1010000000000006E-3</v>
      </c>
      <c r="I51" s="10">
        <v>48</v>
      </c>
      <c r="J51" s="11">
        <v>6.7910000000000002E-3</v>
      </c>
      <c r="K51" s="12">
        <v>4.7229999999999998E-3</v>
      </c>
      <c r="M51" s="10">
        <v>48</v>
      </c>
      <c r="N51" s="11">
        <v>5.1749999999999999E-3</v>
      </c>
      <c r="O51" s="12">
        <v>2.4910000000000002E-3</v>
      </c>
      <c r="Q51" s="10">
        <v>48</v>
      </c>
      <c r="R51" s="11">
        <v>4.0429999999999997E-3</v>
      </c>
      <c r="S51" s="12">
        <v>1.9109999999999999E-3</v>
      </c>
    </row>
    <row r="52" spans="1:19" x14ac:dyDescent="0.3">
      <c r="A52" s="10">
        <v>49</v>
      </c>
      <c r="B52" s="11">
        <v>8.8719999999999997E-3</v>
      </c>
      <c r="C52" s="12">
        <v>8.8719999999999997E-3</v>
      </c>
      <c r="E52" s="10">
        <v>49</v>
      </c>
      <c r="F52" s="11">
        <v>8.6560000000000005E-3</v>
      </c>
      <c r="G52" s="12">
        <v>8.6560000000000005E-3</v>
      </c>
      <c r="I52" s="10">
        <v>49</v>
      </c>
      <c r="J52" s="11">
        <v>7.2389999999999998E-3</v>
      </c>
      <c r="K52" s="12">
        <v>5.0899999999999999E-3</v>
      </c>
      <c r="M52" s="10">
        <v>49</v>
      </c>
      <c r="N52" s="11">
        <v>5.5970000000000004E-3</v>
      </c>
      <c r="O52" s="12">
        <v>2.7469999999999999E-3</v>
      </c>
      <c r="Q52" s="10">
        <v>49</v>
      </c>
      <c r="R52" s="11">
        <v>4.2969999999999996E-3</v>
      </c>
      <c r="S52" s="12">
        <v>2.0799999999999998E-3</v>
      </c>
    </row>
    <row r="53" spans="1:19" x14ac:dyDescent="0.3">
      <c r="A53" s="7">
        <v>50</v>
      </c>
      <c r="B53" s="8">
        <v>9.6749999999999996E-3</v>
      </c>
      <c r="C53" s="9">
        <v>9.6749999999999996E-3</v>
      </c>
      <c r="E53" s="7">
        <v>50</v>
      </c>
      <c r="F53" s="8">
        <v>9.1920000000000005E-3</v>
      </c>
      <c r="G53" s="9">
        <v>9.1920000000000005E-3</v>
      </c>
      <c r="I53" s="7">
        <v>50</v>
      </c>
      <c r="J53" s="8">
        <v>7.711E-3</v>
      </c>
      <c r="K53" s="9">
        <v>5.4739999999999997E-3</v>
      </c>
      <c r="M53" s="7">
        <v>50</v>
      </c>
      <c r="N53" s="8">
        <v>6.0559999999999998E-3</v>
      </c>
      <c r="O53" s="9">
        <v>3.0170000000000002E-3</v>
      </c>
      <c r="Q53" s="7">
        <v>50</v>
      </c>
      <c r="R53" s="8">
        <v>4.6410000000000002E-3</v>
      </c>
      <c r="S53" s="9">
        <v>2.2750000000000001E-3</v>
      </c>
    </row>
    <row r="54" spans="1:19" x14ac:dyDescent="0.3">
      <c r="A54" s="10">
        <v>51</v>
      </c>
      <c r="B54" s="11">
        <v>1.0588999999999999E-2</v>
      </c>
      <c r="C54" s="12">
        <v>1.0588999999999999E-2</v>
      </c>
      <c r="E54" s="10">
        <v>51</v>
      </c>
      <c r="F54" s="11">
        <v>9.7059999999999994E-3</v>
      </c>
      <c r="G54" s="12">
        <v>9.7059999999999994E-3</v>
      </c>
      <c r="I54" s="10">
        <v>51</v>
      </c>
      <c r="J54" s="11">
        <v>8.2290000000000002E-3</v>
      </c>
      <c r="K54" s="12">
        <v>5.8890000000000001E-3</v>
      </c>
      <c r="M54" s="10">
        <v>51</v>
      </c>
      <c r="N54" s="11">
        <v>6.5579999999999996E-3</v>
      </c>
      <c r="O54" s="12">
        <v>3.2940000000000001E-3</v>
      </c>
      <c r="Q54" s="10">
        <v>51</v>
      </c>
      <c r="R54" s="11">
        <v>5.0439999999999999E-3</v>
      </c>
      <c r="S54" s="12">
        <v>2.47E-3</v>
      </c>
    </row>
    <row r="55" spans="1:19" x14ac:dyDescent="0.3">
      <c r="A55" s="10">
        <v>52</v>
      </c>
      <c r="B55" s="11">
        <v>1.1598000000000001E-2</v>
      </c>
      <c r="C55" s="12">
        <v>1.1598000000000001E-2</v>
      </c>
      <c r="E55" s="10">
        <v>52</v>
      </c>
      <c r="F55" s="11">
        <v>1.0199E-2</v>
      </c>
      <c r="G55" s="12">
        <v>1.0199E-2</v>
      </c>
      <c r="I55" s="10">
        <v>52</v>
      </c>
      <c r="J55" s="11">
        <v>8.8170000000000002E-3</v>
      </c>
      <c r="K55" s="12">
        <v>6.3460000000000001E-3</v>
      </c>
      <c r="M55" s="10">
        <v>52</v>
      </c>
      <c r="N55" s="11">
        <v>7.1079999999999997E-3</v>
      </c>
      <c r="O55" s="12">
        <v>3.5720000000000001E-3</v>
      </c>
      <c r="Q55" s="10">
        <v>52</v>
      </c>
      <c r="R55" s="11">
        <v>5.4599999999999996E-3</v>
      </c>
      <c r="S55" s="12">
        <v>2.6779999999999998E-3</v>
      </c>
    </row>
    <row r="56" spans="1:19" x14ac:dyDescent="0.3">
      <c r="A56" s="10">
        <v>53</v>
      </c>
      <c r="B56" s="11">
        <v>1.2685999999999999E-2</v>
      </c>
      <c r="C56" s="12">
        <v>1.2685999999999999E-2</v>
      </c>
      <c r="E56" s="10">
        <v>53</v>
      </c>
      <c r="F56" s="11">
        <v>1.068E-2</v>
      </c>
      <c r="G56" s="12">
        <v>1.068E-2</v>
      </c>
      <c r="I56" s="10">
        <v>53</v>
      </c>
      <c r="J56" s="11">
        <v>9.4929999999999997E-3</v>
      </c>
      <c r="K56" s="12">
        <v>6.8519999999999996E-3</v>
      </c>
      <c r="M56" s="10">
        <v>53</v>
      </c>
      <c r="N56" s="11">
        <v>7.7130000000000002E-3</v>
      </c>
      <c r="O56" s="12">
        <v>3.8479999999999999E-3</v>
      </c>
      <c r="Q56" s="10">
        <v>53</v>
      </c>
      <c r="R56" s="11">
        <v>5.8630000000000002E-3</v>
      </c>
      <c r="S56" s="12">
        <v>2.9060000000000002E-3</v>
      </c>
    </row>
    <row r="57" spans="1:19" x14ac:dyDescent="0.3">
      <c r="A57" s="10">
        <v>54</v>
      </c>
      <c r="B57" s="11">
        <v>1.3861999999999999E-2</v>
      </c>
      <c r="C57" s="12">
        <v>1.3861999999999999E-2</v>
      </c>
      <c r="E57" s="10">
        <v>54</v>
      </c>
      <c r="F57" s="11">
        <v>1.1195999999999999E-2</v>
      </c>
      <c r="G57" s="12">
        <v>1.1195999999999999E-2</v>
      </c>
      <c r="I57" s="10">
        <v>54</v>
      </c>
      <c r="J57" s="11">
        <v>1.0267999999999999E-2</v>
      </c>
      <c r="K57" s="12">
        <v>7.3930000000000003E-3</v>
      </c>
      <c r="M57" s="10">
        <v>54</v>
      </c>
      <c r="N57" s="11">
        <v>8.3800000000000003E-3</v>
      </c>
      <c r="O57" s="12">
        <v>4.1399999999999996E-3</v>
      </c>
      <c r="Q57" s="10">
        <v>54</v>
      </c>
      <c r="R57" s="11">
        <v>6.2989999999999999E-3</v>
      </c>
      <c r="S57" s="12">
        <v>3.1459999999999999E-3</v>
      </c>
    </row>
    <row r="58" spans="1:19" x14ac:dyDescent="0.3">
      <c r="A58" s="10">
        <v>55</v>
      </c>
      <c r="B58" s="11">
        <v>1.576E-2</v>
      </c>
      <c r="C58" s="12">
        <v>1.576E-2</v>
      </c>
      <c r="E58" s="10">
        <v>55</v>
      </c>
      <c r="F58" s="11">
        <v>1.1804E-2</v>
      </c>
      <c r="G58" s="12">
        <v>1.1804E-2</v>
      </c>
      <c r="I58" s="10">
        <v>55</v>
      </c>
      <c r="J58" s="11">
        <v>1.1148E-2</v>
      </c>
      <c r="K58" s="12">
        <v>7.9489999999999995E-3</v>
      </c>
      <c r="M58" s="10">
        <v>55</v>
      </c>
      <c r="N58" s="11">
        <v>9.1179999999999994E-3</v>
      </c>
      <c r="O58" s="12">
        <v>4.4689999999999999E-3</v>
      </c>
      <c r="Q58" s="10">
        <v>55</v>
      </c>
      <c r="R58" s="11">
        <v>6.8380000000000003E-3</v>
      </c>
      <c r="S58" s="12">
        <v>3.4259999999999998E-3</v>
      </c>
    </row>
    <row r="59" spans="1:19" x14ac:dyDescent="0.3">
      <c r="A59" s="13">
        <v>56</v>
      </c>
      <c r="B59" s="14">
        <v>1.7812999999999999E-2</v>
      </c>
      <c r="C59" s="15">
        <v>1.7812999999999999E-2</v>
      </c>
      <c r="E59" s="13">
        <v>56</v>
      </c>
      <c r="F59" s="14">
        <v>1.2560999999999999E-2</v>
      </c>
      <c r="G59" s="15">
        <v>1.2560999999999999E-2</v>
      </c>
      <c r="I59" s="13">
        <v>56</v>
      </c>
      <c r="J59" s="14">
        <v>1.2139E-2</v>
      </c>
      <c r="K59" s="15">
        <v>8.4989999999999996E-3</v>
      </c>
      <c r="M59" s="13">
        <v>56</v>
      </c>
      <c r="N59" s="14">
        <v>9.9349999999999994E-3</v>
      </c>
      <c r="O59" s="15">
        <v>4.8580000000000003E-3</v>
      </c>
      <c r="Q59" s="13">
        <v>56</v>
      </c>
      <c r="R59" s="14">
        <v>7.4749999999999999E-3</v>
      </c>
      <c r="S59" s="15">
        <v>3.7239999999999999E-3</v>
      </c>
    </row>
    <row r="60" spans="1:19" x14ac:dyDescent="0.3">
      <c r="A60" s="10">
        <v>57</v>
      </c>
      <c r="B60" s="11">
        <v>1.9855999999999999E-2</v>
      </c>
      <c r="C60" s="12">
        <v>1.9855999999999999E-2</v>
      </c>
      <c r="E60" s="10">
        <v>57</v>
      </c>
      <c r="F60" s="11">
        <v>1.3527000000000001E-2</v>
      </c>
      <c r="G60" s="12">
        <v>1.3527000000000001E-2</v>
      </c>
      <c r="I60" s="10">
        <v>57</v>
      </c>
      <c r="J60" s="11">
        <v>1.325E-2</v>
      </c>
      <c r="K60" s="12">
        <v>9.0240000000000008E-3</v>
      </c>
      <c r="M60" s="10">
        <v>57</v>
      </c>
      <c r="N60" s="11">
        <v>1.0839E-2</v>
      </c>
      <c r="O60" s="12">
        <v>5.3270000000000001E-3</v>
      </c>
      <c r="Q60" s="10">
        <v>57</v>
      </c>
      <c r="R60" s="11">
        <v>7.9430000000000004E-3</v>
      </c>
      <c r="S60" s="12">
        <v>4.1409999999999997E-3</v>
      </c>
    </row>
    <row r="61" spans="1:19" x14ac:dyDescent="0.3">
      <c r="A61" s="10">
        <v>58</v>
      </c>
      <c r="B61" s="11">
        <v>2.1753000000000002E-2</v>
      </c>
      <c r="C61" s="12">
        <v>2.1753000000000002E-2</v>
      </c>
      <c r="E61" s="10">
        <v>58</v>
      </c>
      <c r="F61" s="11">
        <v>1.4744E-2</v>
      </c>
      <c r="G61" s="12">
        <v>1.4744E-2</v>
      </c>
      <c r="I61" s="10">
        <v>58</v>
      </c>
      <c r="J61" s="11">
        <v>1.4485E-2</v>
      </c>
      <c r="K61" s="12">
        <v>9.5209999999999999E-3</v>
      </c>
      <c r="M61" s="10">
        <v>58</v>
      </c>
      <c r="N61" s="11">
        <v>1.184E-2</v>
      </c>
      <c r="O61" s="12">
        <v>5.8950000000000001E-3</v>
      </c>
      <c r="Q61" s="10">
        <v>58</v>
      </c>
      <c r="R61" s="11">
        <v>8.4690000000000008E-3</v>
      </c>
      <c r="S61" s="12">
        <v>4.6020000000000002E-3</v>
      </c>
    </row>
    <row r="62" spans="1:19" x14ac:dyDescent="0.3">
      <c r="A62" s="10">
        <v>59</v>
      </c>
      <c r="B62" s="11">
        <v>2.3702000000000001E-2</v>
      </c>
      <c r="C62" s="12">
        <v>2.3702000000000001E-2</v>
      </c>
      <c r="E62" s="10">
        <v>59</v>
      </c>
      <c r="F62" s="11">
        <v>1.6219000000000001E-2</v>
      </c>
      <c r="G62" s="12">
        <v>1.6219000000000001E-2</v>
      </c>
      <c r="I62" s="10">
        <v>59</v>
      </c>
      <c r="J62" s="11">
        <v>1.5851000000000001E-2</v>
      </c>
      <c r="K62" s="12">
        <v>1.0064E-2</v>
      </c>
      <c r="M62" s="10">
        <v>59</v>
      </c>
      <c r="N62" s="11">
        <v>1.2944000000000001E-2</v>
      </c>
      <c r="O62" s="12">
        <v>6.5539999999999999E-3</v>
      </c>
      <c r="Q62" s="10">
        <v>59</v>
      </c>
      <c r="R62" s="11">
        <v>9.0550000000000005E-3</v>
      </c>
      <c r="S62" s="12">
        <v>5.1159999999999999E-3</v>
      </c>
    </row>
    <row r="63" spans="1:19" x14ac:dyDescent="0.3">
      <c r="A63" s="7">
        <v>60</v>
      </c>
      <c r="B63" s="8">
        <v>2.6037000000000001E-2</v>
      </c>
      <c r="C63" s="9">
        <v>2.6037000000000001E-2</v>
      </c>
      <c r="E63" s="7">
        <v>60</v>
      </c>
      <c r="F63" s="8">
        <v>1.7939E-2</v>
      </c>
      <c r="G63" s="9">
        <v>1.7939E-2</v>
      </c>
      <c r="I63" s="7">
        <v>60</v>
      </c>
      <c r="J63" s="8">
        <v>1.7353E-2</v>
      </c>
      <c r="K63" s="9">
        <v>1.0743000000000001E-2</v>
      </c>
      <c r="M63" s="7">
        <v>60</v>
      </c>
      <c r="N63" s="8">
        <v>1.4158E-2</v>
      </c>
      <c r="O63" s="9">
        <v>7.293E-3</v>
      </c>
      <c r="Q63" s="7">
        <v>60</v>
      </c>
      <c r="R63" s="8">
        <v>9.7109999999999991E-3</v>
      </c>
      <c r="S63" s="9">
        <v>5.6940000000000003E-3</v>
      </c>
    </row>
    <row r="64" spans="1:19" x14ac:dyDescent="0.3">
      <c r="A64" s="10">
        <v>61</v>
      </c>
      <c r="B64" s="11">
        <v>2.8340000000000001E-2</v>
      </c>
      <c r="C64" s="12">
        <v>2.8340000000000001E-2</v>
      </c>
      <c r="E64" s="10">
        <v>61</v>
      </c>
      <c r="F64" s="11">
        <v>1.9896E-2</v>
      </c>
      <c r="G64" s="12">
        <v>1.9896E-2</v>
      </c>
      <c r="I64" s="10">
        <v>61</v>
      </c>
      <c r="J64" s="11">
        <v>1.8995999999999999E-2</v>
      </c>
      <c r="K64" s="12">
        <v>1.1650000000000001E-2</v>
      </c>
      <c r="M64" s="10">
        <v>61</v>
      </c>
      <c r="N64" s="11">
        <v>1.5488E-2</v>
      </c>
      <c r="O64" s="12">
        <v>8.1010000000000006E-3</v>
      </c>
      <c r="Q64" s="10">
        <v>61</v>
      </c>
      <c r="R64" s="11">
        <v>1.0446E-2</v>
      </c>
      <c r="S64" s="12">
        <v>6.3309999999999998E-3</v>
      </c>
    </row>
    <row r="65" spans="1:19" x14ac:dyDescent="0.3">
      <c r="A65" s="10">
        <v>62</v>
      </c>
      <c r="B65" s="11">
        <v>3.0852000000000001E-2</v>
      </c>
      <c r="C65" s="12">
        <v>3.0852000000000001E-2</v>
      </c>
      <c r="E65" s="10">
        <v>62</v>
      </c>
      <c r="F65" s="11">
        <v>2.2082000000000001E-2</v>
      </c>
      <c r="G65" s="12">
        <v>2.2082000000000001E-2</v>
      </c>
      <c r="I65" s="10">
        <v>62</v>
      </c>
      <c r="J65" s="11">
        <v>2.0784E-2</v>
      </c>
      <c r="K65" s="12">
        <v>1.2876E-2</v>
      </c>
      <c r="M65" s="10">
        <v>62</v>
      </c>
      <c r="N65" s="11">
        <v>1.6941999999999999E-2</v>
      </c>
      <c r="O65" s="12">
        <v>8.966E-3</v>
      </c>
      <c r="Q65" s="10">
        <v>62</v>
      </c>
      <c r="R65" s="11">
        <v>1.1265000000000001E-2</v>
      </c>
      <c r="S65" s="12">
        <v>7.0460000000000002E-3</v>
      </c>
    </row>
    <row r="66" spans="1:19" x14ac:dyDescent="0.3">
      <c r="A66" s="10">
        <v>63</v>
      </c>
      <c r="B66" s="11">
        <v>3.3592999999999998E-2</v>
      </c>
      <c r="C66" s="12">
        <v>3.3592999999999998E-2</v>
      </c>
      <c r="E66" s="10">
        <v>63</v>
      </c>
      <c r="F66" s="11">
        <v>2.4482E-2</v>
      </c>
      <c r="G66" s="12">
        <v>2.4482E-2</v>
      </c>
      <c r="I66" s="10">
        <v>63</v>
      </c>
      <c r="J66" s="11">
        <v>2.2726E-2</v>
      </c>
      <c r="K66" s="12">
        <v>1.4475E-2</v>
      </c>
      <c r="M66" s="10">
        <v>63</v>
      </c>
      <c r="N66" s="11">
        <v>1.8527999999999999E-2</v>
      </c>
      <c r="O66" s="12">
        <v>9.8820000000000002E-3</v>
      </c>
      <c r="Q66" s="10">
        <v>63</v>
      </c>
      <c r="R66" s="11">
        <v>1.2175E-2</v>
      </c>
      <c r="S66" s="12">
        <v>7.8460000000000005E-3</v>
      </c>
    </row>
    <row r="67" spans="1:19" x14ac:dyDescent="0.3">
      <c r="A67" s="10">
        <v>64</v>
      </c>
      <c r="B67" s="11">
        <v>3.6767000000000001E-2</v>
      </c>
      <c r="C67" s="12">
        <v>3.6767000000000001E-2</v>
      </c>
      <c r="E67" s="10">
        <v>64</v>
      </c>
      <c r="F67" s="11">
        <v>2.7063E-2</v>
      </c>
      <c r="G67" s="12">
        <v>2.7063E-2</v>
      </c>
      <c r="I67" s="10">
        <v>64</v>
      </c>
      <c r="J67" s="11">
        <v>2.4840999999999998E-2</v>
      </c>
      <c r="K67" s="12">
        <v>1.6362000000000002E-2</v>
      </c>
      <c r="M67" s="10">
        <v>64</v>
      </c>
      <c r="N67" s="11">
        <v>2.0261000000000001E-2</v>
      </c>
      <c r="O67" s="12">
        <v>1.0867E-2</v>
      </c>
      <c r="Q67" s="10">
        <v>64</v>
      </c>
      <c r="R67" s="11">
        <v>1.3195E-2</v>
      </c>
      <c r="S67" s="12">
        <v>8.7290000000000006E-3</v>
      </c>
    </row>
    <row r="68" spans="1:19" x14ac:dyDescent="0.3">
      <c r="A68" s="10">
        <v>65</v>
      </c>
      <c r="B68" s="11">
        <v>4.0294999999999997E-2</v>
      </c>
      <c r="C68" s="12">
        <v>4.0294999999999997E-2</v>
      </c>
      <c r="E68" s="10">
        <v>65</v>
      </c>
      <c r="F68" s="11">
        <v>2.9794000000000001E-2</v>
      </c>
      <c r="G68" s="12">
        <v>2.9794000000000001E-2</v>
      </c>
      <c r="I68" s="10">
        <v>65</v>
      </c>
      <c r="J68" s="11">
        <v>2.7150000000000001E-2</v>
      </c>
      <c r="K68" s="12">
        <v>1.8412999999999999E-2</v>
      </c>
      <c r="M68" s="10">
        <v>65</v>
      </c>
      <c r="N68" s="11">
        <v>2.2157E-2</v>
      </c>
      <c r="O68" s="12">
        <v>1.1941999999999999E-2</v>
      </c>
      <c r="Q68" s="10">
        <v>65</v>
      </c>
      <c r="R68" s="11">
        <v>1.4331999999999999E-2</v>
      </c>
      <c r="S68" s="12">
        <v>9.7179999999999992E-3</v>
      </c>
    </row>
    <row r="69" spans="1:19" x14ac:dyDescent="0.3">
      <c r="A69" s="13">
        <v>66</v>
      </c>
      <c r="B69" s="14">
        <v>4.4475000000000001E-2</v>
      </c>
      <c r="C69" s="15">
        <v>4.4475000000000001E-2</v>
      </c>
      <c r="E69" s="13">
        <v>66</v>
      </c>
      <c r="F69" s="14">
        <v>3.2639000000000001E-2</v>
      </c>
      <c r="G69" s="15">
        <v>3.2639000000000001E-2</v>
      </c>
      <c r="I69" s="13">
        <v>66</v>
      </c>
      <c r="J69" s="14">
        <v>2.9675E-2</v>
      </c>
      <c r="K69" s="15">
        <v>2.0507000000000001E-2</v>
      </c>
      <c r="M69" s="13">
        <v>66</v>
      </c>
      <c r="N69" s="14">
        <v>2.4233000000000001E-2</v>
      </c>
      <c r="O69" s="15">
        <v>1.3129999999999999E-2</v>
      </c>
      <c r="Q69" s="13">
        <v>66</v>
      </c>
      <c r="R69" s="14">
        <v>1.5599999999999999E-2</v>
      </c>
      <c r="S69" s="15">
        <v>1.0822999999999999E-2</v>
      </c>
    </row>
    <row r="70" spans="1:19" x14ac:dyDescent="0.3">
      <c r="A70" s="10">
        <v>67</v>
      </c>
      <c r="B70" s="11">
        <v>4.8476999999999999E-2</v>
      </c>
      <c r="C70" s="12">
        <v>4.8476999999999999E-2</v>
      </c>
      <c r="E70" s="10">
        <v>67</v>
      </c>
      <c r="F70" s="11">
        <v>3.5562000000000003E-2</v>
      </c>
      <c r="G70" s="12">
        <v>3.5562000000000003E-2</v>
      </c>
      <c r="I70" s="10">
        <v>67</v>
      </c>
      <c r="J70" s="11">
        <v>3.2438000000000002E-2</v>
      </c>
      <c r="K70" s="12">
        <v>2.2520999999999999E-2</v>
      </c>
      <c r="M70" s="10">
        <v>67</v>
      </c>
      <c r="N70" s="11">
        <v>2.6505000000000001E-2</v>
      </c>
      <c r="O70" s="12">
        <v>1.4453000000000001E-2</v>
      </c>
      <c r="Q70" s="10">
        <v>67</v>
      </c>
      <c r="R70" s="11">
        <v>1.7024000000000001E-2</v>
      </c>
      <c r="S70" s="12">
        <v>1.2050999999999999E-2</v>
      </c>
    </row>
    <row r="71" spans="1:19" x14ac:dyDescent="0.3">
      <c r="A71" s="10">
        <v>68</v>
      </c>
      <c r="B71" s="11">
        <v>5.2791999999999999E-2</v>
      </c>
      <c r="C71" s="12">
        <v>5.2791999999999999E-2</v>
      </c>
      <c r="E71" s="10">
        <v>68</v>
      </c>
      <c r="F71" s="11">
        <v>3.8550000000000001E-2</v>
      </c>
      <c r="G71" s="12">
        <v>3.8550000000000001E-2</v>
      </c>
      <c r="I71" s="10">
        <v>68</v>
      </c>
      <c r="J71" s="11">
        <v>3.5462E-2</v>
      </c>
      <c r="K71" s="12">
        <v>2.4376999999999999E-2</v>
      </c>
      <c r="M71" s="10">
        <v>68</v>
      </c>
      <c r="N71" s="11">
        <v>2.8992E-2</v>
      </c>
      <c r="O71" s="12">
        <v>1.5934E-2</v>
      </c>
      <c r="Q71" s="10">
        <v>68</v>
      </c>
      <c r="R71" s="11">
        <v>1.8603000000000001E-2</v>
      </c>
      <c r="S71" s="12">
        <v>1.3416000000000001E-2</v>
      </c>
    </row>
    <row r="72" spans="1:19" x14ac:dyDescent="0.3">
      <c r="A72" s="10">
        <v>69</v>
      </c>
      <c r="B72" s="11">
        <v>5.7452000000000003E-2</v>
      </c>
      <c r="C72" s="12">
        <v>5.7452000000000003E-2</v>
      </c>
      <c r="E72" s="10">
        <v>69</v>
      </c>
      <c r="F72" s="11">
        <v>4.1676999999999999E-2</v>
      </c>
      <c r="G72" s="12">
        <v>4.1676999999999999E-2</v>
      </c>
      <c r="I72" s="10">
        <v>69</v>
      </c>
      <c r="J72" s="11">
        <v>3.8774000000000003E-2</v>
      </c>
      <c r="K72" s="12">
        <v>2.6169999999999999E-2</v>
      </c>
      <c r="M72" s="10">
        <v>69</v>
      </c>
      <c r="N72" s="11">
        <v>3.1715E-2</v>
      </c>
      <c r="O72" s="12">
        <v>1.7587999999999999E-2</v>
      </c>
      <c r="Q72" s="10">
        <v>69</v>
      </c>
      <c r="R72" s="11">
        <v>2.0364E-2</v>
      </c>
      <c r="S72" s="12">
        <v>1.4937000000000001E-2</v>
      </c>
    </row>
    <row r="73" spans="1:19" x14ac:dyDescent="0.3">
      <c r="A73" s="7">
        <v>70</v>
      </c>
      <c r="B73" s="8">
        <v>6.2465E-2</v>
      </c>
      <c r="C73" s="9">
        <v>6.2465E-2</v>
      </c>
      <c r="E73" s="7">
        <v>70</v>
      </c>
      <c r="F73" s="8">
        <v>4.5043E-2</v>
      </c>
      <c r="G73" s="9">
        <v>4.5043E-2</v>
      </c>
      <c r="I73" s="7">
        <v>70</v>
      </c>
      <c r="J73" s="8">
        <v>4.24E-2</v>
      </c>
      <c r="K73" s="9">
        <v>2.8041E-2</v>
      </c>
      <c r="M73" s="7">
        <v>70</v>
      </c>
      <c r="N73" s="8">
        <v>3.4698E-2</v>
      </c>
      <c r="O73" s="9">
        <v>1.9431E-2</v>
      </c>
      <c r="Q73" s="7">
        <v>70</v>
      </c>
      <c r="R73" s="8">
        <v>2.2328000000000001E-2</v>
      </c>
      <c r="S73" s="9">
        <v>1.6633999999999999E-2</v>
      </c>
    </row>
    <row r="74" spans="1:19" x14ac:dyDescent="0.3">
      <c r="A74" s="10">
        <v>71</v>
      </c>
      <c r="B74" s="11">
        <v>6.7863999999999994E-2</v>
      </c>
      <c r="C74" s="12">
        <v>6.7863999999999994E-2</v>
      </c>
      <c r="E74" s="10">
        <v>71</v>
      </c>
      <c r="F74" s="11">
        <v>4.8741E-2</v>
      </c>
      <c r="G74" s="12">
        <v>4.8741E-2</v>
      </c>
      <c r="I74" s="10">
        <v>71</v>
      </c>
      <c r="J74" s="11">
        <v>4.6370000000000001E-2</v>
      </c>
      <c r="K74" s="12">
        <v>3.0131000000000002E-2</v>
      </c>
      <c r="M74" s="10">
        <v>71</v>
      </c>
      <c r="N74" s="11">
        <v>3.7962999999999997E-2</v>
      </c>
      <c r="O74" s="12">
        <v>2.1478000000000001E-2</v>
      </c>
      <c r="Q74" s="10">
        <v>71</v>
      </c>
      <c r="R74" s="11">
        <v>2.4518000000000002E-2</v>
      </c>
      <c r="S74" s="12">
        <v>1.8519000000000001E-2</v>
      </c>
    </row>
    <row r="75" spans="1:19" x14ac:dyDescent="0.3">
      <c r="A75" s="10">
        <v>72</v>
      </c>
      <c r="B75" s="11">
        <v>7.3679999999999995E-2</v>
      </c>
      <c r="C75" s="12">
        <v>7.3679999999999995E-2</v>
      </c>
      <c r="E75" s="10">
        <v>72</v>
      </c>
      <c r="F75" s="11">
        <v>5.2873000000000003E-2</v>
      </c>
      <c r="G75" s="12">
        <v>5.2873000000000003E-2</v>
      </c>
      <c r="I75" s="10">
        <v>72</v>
      </c>
      <c r="J75" s="11">
        <v>5.0709999999999998E-2</v>
      </c>
      <c r="K75" s="12">
        <v>3.2578999999999997E-2</v>
      </c>
      <c r="M75" s="10">
        <v>72</v>
      </c>
      <c r="N75" s="11">
        <v>4.1535000000000002E-2</v>
      </c>
      <c r="O75" s="12">
        <v>2.3744999999999999E-2</v>
      </c>
      <c r="Q75" s="10">
        <v>72</v>
      </c>
      <c r="R75" s="11">
        <v>2.6962E-2</v>
      </c>
      <c r="S75" s="12">
        <v>2.0618000000000001E-2</v>
      </c>
    </row>
    <row r="76" spans="1:19" x14ac:dyDescent="0.3">
      <c r="A76" s="10">
        <v>73</v>
      </c>
      <c r="B76" s="11">
        <v>7.9934000000000005E-2</v>
      </c>
      <c r="C76" s="12">
        <v>7.9934000000000005E-2</v>
      </c>
      <c r="E76" s="10">
        <v>73</v>
      </c>
      <c r="F76" s="11">
        <v>5.7519000000000001E-2</v>
      </c>
      <c r="G76" s="12">
        <v>5.7519000000000001E-2</v>
      </c>
      <c r="I76" s="10">
        <v>73</v>
      </c>
      <c r="J76" s="11">
        <v>5.5448999999999998E-2</v>
      </c>
      <c r="K76" s="12">
        <v>3.5501999999999999E-2</v>
      </c>
      <c r="M76" s="10">
        <v>73</v>
      </c>
      <c r="N76" s="11">
        <v>4.5435999999999997E-2</v>
      </c>
      <c r="O76" s="12">
        <v>2.6248E-2</v>
      </c>
      <c r="Q76" s="10">
        <v>73</v>
      </c>
      <c r="R76" s="11">
        <v>2.9679000000000001E-2</v>
      </c>
      <c r="S76" s="12">
        <v>2.2952E-2</v>
      </c>
    </row>
    <row r="77" spans="1:19" x14ac:dyDescent="0.3">
      <c r="A77" s="10">
        <v>74</v>
      </c>
      <c r="B77" s="11">
        <v>8.6666999999999994E-2</v>
      </c>
      <c r="C77" s="12">
        <v>8.6666999999999994E-2</v>
      </c>
      <c r="E77" s="10">
        <v>74</v>
      </c>
      <c r="F77" s="11">
        <v>6.2711000000000003E-2</v>
      </c>
      <c r="G77" s="12">
        <v>6.2711000000000003E-2</v>
      </c>
      <c r="I77" s="10">
        <v>74</v>
      </c>
      <c r="J77" s="11">
        <v>6.0627E-2</v>
      </c>
      <c r="K77" s="12">
        <v>3.8919000000000002E-2</v>
      </c>
      <c r="M77" s="10">
        <v>74</v>
      </c>
      <c r="N77" s="11">
        <v>4.9701000000000002E-2</v>
      </c>
      <c r="O77" s="12">
        <v>2.9016E-2</v>
      </c>
      <c r="Q77" s="10">
        <v>74</v>
      </c>
      <c r="R77" s="11">
        <v>3.2702000000000002E-2</v>
      </c>
      <c r="S77" s="12">
        <v>2.5545000000000002E-2</v>
      </c>
    </row>
    <row r="78" spans="1:19" x14ac:dyDescent="0.3">
      <c r="A78" s="10">
        <v>75</v>
      </c>
      <c r="B78" s="11">
        <v>9.3900999999999998E-2</v>
      </c>
      <c r="C78" s="12">
        <v>9.3900999999999998E-2</v>
      </c>
      <c r="E78" s="10">
        <v>75</v>
      </c>
      <c r="F78" s="11">
        <v>6.8461999999999995E-2</v>
      </c>
      <c r="G78" s="12">
        <v>6.8461999999999995E-2</v>
      </c>
      <c r="I78" s="10">
        <v>75</v>
      </c>
      <c r="J78" s="11">
        <v>6.6282999999999995E-2</v>
      </c>
      <c r="K78" s="12">
        <v>4.2827999999999998E-2</v>
      </c>
      <c r="M78" s="10">
        <v>75</v>
      </c>
      <c r="N78" s="11">
        <v>5.4363000000000002E-2</v>
      </c>
      <c r="O78" s="12">
        <v>3.2079000000000003E-2</v>
      </c>
      <c r="Q78" s="10">
        <v>75</v>
      </c>
      <c r="R78" s="11">
        <v>3.6068000000000003E-2</v>
      </c>
      <c r="S78" s="12">
        <v>2.8431000000000001E-2</v>
      </c>
    </row>
    <row r="79" spans="1:19" x14ac:dyDescent="0.3">
      <c r="A79" s="13">
        <v>76</v>
      </c>
      <c r="B79" s="14">
        <v>0.10166600000000001</v>
      </c>
      <c r="C79" s="15">
        <v>0.10166600000000001</v>
      </c>
      <c r="E79" s="13">
        <v>76</v>
      </c>
      <c r="F79" s="14">
        <v>7.4789999999999995E-2</v>
      </c>
      <c r="G79" s="15">
        <v>7.4789999999999995E-2</v>
      </c>
      <c r="I79" s="13">
        <v>76</v>
      </c>
      <c r="J79" s="14">
        <v>7.2457999999999995E-2</v>
      </c>
      <c r="K79" s="15">
        <v>4.7223000000000001E-2</v>
      </c>
      <c r="M79" s="13">
        <v>76</v>
      </c>
      <c r="N79" s="14">
        <v>5.9457000000000003E-2</v>
      </c>
      <c r="O79" s="15">
        <v>3.5465999999999998E-2</v>
      </c>
      <c r="Q79" s="13">
        <v>76</v>
      </c>
      <c r="R79" s="14">
        <v>3.9813000000000001E-2</v>
      </c>
      <c r="S79" s="15">
        <v>3.1628999999999997E-2</v>
      </c>
    </row>
    <row r="80" spans="1:19" x14ac:dyDescent="0.3">
      <c r="A80" s="10">
        <v>77</v>
      </c>
      <c r="B80" s="11">
        <v>0.110004</v>
      </c>
      <c r="C80" s="12">
        <v>0.110004</v>
      </c>
      <c r="E80" s="10">
        <v>77</v>
      </c>
      <c r="F80" s="11">
        <v>8.1710000000000005E-2</v>
      </c>
      <c r="G80" s="12">
        <v>8.1710000000000005E-2</v>
      </c>
      <c r="I80" s="10">
        <v>77</v>
      </c>
      <c r="J80" s="11">
        <v>7.9190999999999998E-2</v>
      </c>
      <c r="K80" s="12">
        <v>5.2101000000000001E-2</v>
      </c>
      <c r="M80" s="10">
        <v>77</v>
      </c>
      <c r="N80" s="11">
        <v>6.5016000000000004E-2</v>
      </c>
      <c r="O80" s="12">
        <v>3.9208E-2</v>
      </c>
      <c r="Q80" s="10">
        <v>77</v>
      </c>
      <c r="R80" s="11">
        <v>4.3965999999999998E-2</v>
      </c>
      <c r="S80" s="12">
        <v>3.5185000000000001E-2</v>
      </c>
    </row>
    <row r="81" spans="1:19" x14ac:dyDescent="0.3">
      <c r="A81" s="10">
        <v>78</v>
      </c>
      <c r="B81" s="11">
        <v>0.11895799999999999</v>
      </c>
      <c r="C81" s="12">
        <v>0.11895799999999999</v>
      </c>
      <c r="E81" s="10">
        <v>78</v>
      </c>
      <c r="F81" s="11">
        <v>8.9243000000000003E-2</v>
      </c>
      <c r="G81" s="12">
        <v>8.9243000000000003E-2</v>
      </c>
      <c r="I81" s="10">
        <v>78</v>
      </c>
      <c r="J81" s="11">
        <v>8.6525000000000005E-2</v>
      </c>
      <c r="K81" s="12">
        <v>5.7467999999999998E-2</v>
      </c>
      <c r="M81" s="10">
        <v>78</v>
      </c>
      <c r="N81" s="11">
        <v>7.1077000000000001E-2</v>
      </c>
      <c r="O81" s="12">
        <v>4.3337000000000001E-2</v>
      </c>
      <c r="Q81" s="10">
        <v>78</v>
      </c>
      <c r="R81" s="11">
        <v>4.8580999999999999E-2</v>
      </c>
      <c r="S81" s="12">
        <v>3.9129999999999998E-2</v>
      </c>
    </row>
    <row r="82" spans="1:19" x14ac:dyDescent="0.3">
      <c r="A82" s="10">
        <v>79</v>
      </c>
      <c r="B82" s="11">
        <v>0.12854699999999999</v>
      </c>
      <c r="C82" s="12">
        <v>0.12854699999999999</v>
      </c>
      <c r="E82" s="10">
        <v>79</v>
      </c>
      <c r="F82" s="11">
        <v>9.7446000000000005E-2</v>
      </c>
      <c r="G82" s="12">
        <v>9.7446000000000005E-2</v>
      </c>
      <c r="I82" s="10">
        <v>79</v>
      </c>
      <c r="J82" s="11">
        <v>9.4511999999999999E-2</v>
      </c>
      <c r="K82" s="12">
        <v>6.3376000000000002E-2</v>
      </c>
      <c r="M82" s="10">
        <v>79</v>
      </c>
      <c r="N82" s="11">
        <v>7.7686000000000005E-2</v>
      </c>
      <c r="O82" s="12">
        <v>4.7896000000000001E-2</v>
      </c>
      <c r="Q82" s="10">
        <v>79</v>
      </c>
      <c r="R82" s="11">
        <v>5.3697000000000002E-2</v>
      </c>
      <c r="S82" s="12">
        <v>4.3498000000000002E-2</v>
      </c>
    </row>
    <row r="83" spans="1:19" x14ac:dyDescent="0.3">
      <c r="A83" s="7">
        <v>80</v>
      </c>
      <c r="B83" s="8">
        <v>0.138824</v>
      </c>
      <c r="C83" s="9">
        <v>0.138824</v>
      </c>
      <c r="E83" s="7">
        <v>80</v>
      </c>
      <c r="F83" s="8">
        <v>0.10638</v>
      </c>
      <c r="G83" s="9">
        <v>0.10638</v>
      </c>
      <c r="I83" s="7">
        <v>80</v>
      </c>
      <c r="J83" s="8">
        <v>0.10320600000000001</v>
      </c>
      <c r="K83" s="9">
        <v>6.9885000000000003E-2</v>
      </c>
      <c r="M83" s="7">
        <v>80</v>
      </c>
      <c r="N83" s="8">
        <v>8.4889000000000006E-2</v>
      </c>
      <c r="O83" s="9">
        <v>5.2932E-2</v>
      </c>
      <c r="Q83" s="7">
        <v>80</v>
      </c>
      <c r="R83" s="8">
        <v>5.9371E-2</v>
      </c>
      <c r="S83" s="9">
        <v>4.8334000000000002E-2</v>
      </c>
    </row>
    <row r="84" spans="1:19" x14ac:dyDescent="0.3">
      <c r="A84" s="10">
        <v>81</v>
      </c>
      <c r="B84" s="11">
        <v>0.14981</v>
      </c>
      <c r="C84" s="12">
        <v>0.14981</v>
      </c>
      <c r="E84" s="10">
        <v>81</v>
      </c>
      <c r="F84" s="11">
        <v>0.116105</v>
      </c>
      <c r="G84" s="12">
        <v>0.116105</v>
      </c>
      <c r="I84" s="10">
        <v>81</v>
      </c>
      <c r="J84" s="11">
        <v>0.11266</v>
      </c>
      <c r="K84" s="12">
        <v>7.7058000000000001E-2</v>
      </c>
      <c r="M84" s="10">
        <v>81</v>
      </c>
      <c r="N84" s="11">
        <v>9.2733999999999997E-2</v>
      </c>
      <c r="O84" s="12">
        <v>5.8488999999999999E-2</v>
      </c>
      <c r="Q84" s="10">
        <v>81</v>
      </c>
      <c r="R84" s="11">
        <v>6.5643000000000007E-2</v>
      </c>
      <c r="S84" s="12">
        <v>5.3690000000000002E-2</v>
      </c>
    </row>
    <row r="85" spans="1:19" x14ac:dyDescent="0.3">
      <c r="A85" s="10">
        <v>82</v>
      </c>
      <c r="B85" s="11">
        <v>0.16156699999999999</v>
      </c>
      <c r="C85" s="12">
        <v>0.16156699999999999</v>
      </c>
      <c r="E85" s="10">
        <v>82</v>
      </c>
      <c r="F85" s="11">
        <v>0.12668399999999999</v>
      </c>
      <c r="G85" s="12">
        <v>0.12668399999999999</v>
      </c>
      <c r="I85" s="10">
        <v>82</v>
      </c>
      <c r="J85" s="11">
        <v>0.122929</v>
      </c>
      <c r="K85" s="12">
        <v>8.4956000000000004E-2</v>
      </c>
      <c r="M85" s="10">
        <v>82</v>
      </c>
      <c r="N85" s="11">
        <v>0.101268</v>
      </c>
      <c r="O85" s="12">
        <v>6.4614000000000005E-2</v>
      </c>
      <c r="Q85" s="10">
        <v>82</v>
      </c>
      <c r="R85" s="11">
        <v>7.2585999999999998E-2</v>
      </c>
      <c r="S85" s="12">
        <v>5.9611999999999998E-2</v>
      </c>
    </row>
    <row r="86" spans="1:19" x14ac:dyDescent="0.3">
      <c r="A86" s="10">
        <v>83</v>
      </c>
      <c r="B86" s="11">
        <v>0.17411599999999999</v>
      </c>
      <c r="C86" s="12">
        <v>0.17411599999999999</v>
      </c>
      <c r="E86" s="10">
        <v>83</v>
      </c>
      <c r="F86" s="11">
        <v>0.138181</v>
      </c>
      <c r="G86" s="12">
        <v>0.138181</v>
      </c>
      <c r="I86" s="10">
        <v>83</v>
      </c>
      <c r="J86" s="11">
        <v>0.13406699999999999</v>
      </c>
      <c r="K86" s="12">
        <v>9.3643000000000004E-2</v>
      </c>
      <c r="M86" s="10">
        <v>83</v>
      </c>
      <c r="N86" s="11">
        <v>0.110542</v>
      </c>
      <c r="O86" s="12">
        <v>7.1356000000000003E-2</v>
      </c>
      <c r="Q86" s="10">
        <v>83</v>
      </c>
      <c r="R86" s="11">
        <v>8.0249000000000001E-2</v>
      </c>
      <c r="S86" s="12">
        <v>6.6151000000000001E-2</v>
      </c>
    </row>
    <row r="87" spans="1:19" x14ac:dyDescent="0.3">
      <c r="A87" s="10">
        <v>84</v>
      </c>
      <c r="B87" s="11">
        <v>0.18751000000000001</v>
      </c>
      <c r="C87" s="12">
        <v>0.18751000000000001</v>
      </c>
      <c r="E87" s="10">
        <v>84</v>
      </c>
      <c r="F87" s="11">
        <v>0.150668</v>
      </c>
      <c r="G87" s="12">
        <v>0.150668</v>
      </c>
      <c r="I87" s="10">
        <v>84</v>
      </c>
      <c r="J87" s="11">
        <v>0.14613499999999999</v>
      </c>
      <c r="K87" s="12">
        <v>0.103196</v>
      </c>
      <c r="M87" s="10">
        <v>84</v>
      </c>
      <c r="N87" s="11">
        <v>0.120611</v>
      </c>
      <c r="O87" s="12">
        <v>7.8778000000000001E-2</v>
      </c>
      <c r="Q87" s="10">
        <v>84</v>
      </c>
      <c r="R87" s="11">
        <v>8.8691999999999993E-2</v>
      </c>
      <c r="S87" s="12">
        <v>7.3366000000000001E-2</v>
      </c>
    </row>
    <row r="88" spans="1:19" x14ac:dyDescent="0.3">
      <c r="A88" s="10">
        <v>85</v>
      </c>
      <c r="B88" s="11">
        <v>0.201768</v>
      </c>
      <c r="C88" s="12">
        <v>0.201768</v>
      </c>
      <c r="E88" s="10">
        <v>85</v>
      </c>
      <c r="F88" s="11">
        <v>0.16422100000000001</v>
      </c>
      <c r="G88" s="12">
        <v>0.16422100000000001</v>
      </c>
      <c r="I88" s="10">
        <v>85</v>
      </c>
      <c r="J88" s="11">
        <v>0.159195</v>
      </c>
      <c r="K88" s="12">
        <v>0.113694</v>
      </c>
      <c r="M88" s="10">
        <v>85</v>
      </c>
      <c r="N88" s="11">
        <v>0.13153599999999999</v>
      </c>
      <c r="O88" s="12">
        <v>8.6945999999999996E-2</v>
      </c>
      <c r="Q88" s="10">
        <v>85</v>
      </c>
      <c r="R88" s="11">
        <v>9.7993999999999998E-2</v>
      </c>
      <c r="S88" s="12">
        <v>8.1309000000000006E-2</v>
      </c>
    </row>
    <row r="89" spans="1:19" x14ac:dyDescent="0.3">
      <c r="A89" s="13">
        <v>86</v>
      </c>
      <c r="B89" s="14">
        <v>0.216944</v>
      </c>
      <c r="C89" s="15">
        <v>0.216944</v>
      </c>
      <c r="E89" s="13">
        <v>86</v>
      </c>
      <c r="F89" s="14">
        <v>0.17891399999999999</v>
      </c>
      <c r="G89" s="15">
        <v>0.17891399999999999</v>
      </c>
      <c r="I89" s="13">
        <v>86</v>
      </c>
      <c r="J89" s="14">
        <v>0.17331099999999999</v>
      </c>
      <c r="K89" s="15">
        <v>0.12521499999999999</v>
      </c>
      <c r="M89" s="13">
        <v>86</v>
      </c>
      <c r="N89" s="14">
        <v>0.143375</v>
      </c>
      <c r="O89" s="15">
        <v>9.5924999999999996E-2</v>
      </c>
      <c r="Q89" s="13">
        <v>86</v>
      </c>
      <c r="R89" s="14">
        <v>0.108206</v>
      </c>
      <c r="S89" s="15">
        <v>9.0043999999999999E-2</v>
      </c>
    </row>
    <row r="90" spans="1:19" x14ac:dyDescent="0.3">
      <c r="A90" s="10">
        <v>87</v>
      </c>
      <c r="B90" s="11">
        <v>0.233069</v>
      </c>
      <c r="C90" s="12">
        <v>0.233069</v>
      </c>
      <c r="E90" s="10">
        <v>87</v>
      </c>
      <c r="F90" s="11">
        <v>0.19481200000000001</v>
      </c>
      <c r="G90" s="12">
        <v>0.19481200000000001</v>
      </c>
      <c r="I90" s="10">
        <v>87</v>
      </c>
      <c r="J90" s="11">
        <v>0.18854299999999999</v>
      </c>
      <c r="K90" s="12">
        <v>0.13783999999999999</v>
      </c>
      <c r="M90" s="10">
        <v>87</v>
      </c>
      <c r="N90" s="11">
        <v>0.15618799999999999</v>
      </c>
      <c r="O90" s="12">
        <v>0.105783</v>
      </c>
      <c r="Q90" s="10">
        <v>87</v>
      </c>
      <c r="R90" s="11">
        <v>0.119405</v>
      </c>
      <c r="S90" s="12">
        <v>9.9639000000000005E-2</v>
      </c>
    </row>
    <row r="91" spans="1:19" x14ac:dyDescent="0.3">
      <c r="A91" s="10">
        <v>88</v>
      </c>
      <c r="B91" s="11">
        <v>0.25017299999999998</v>
      </c>
      <c r="C91" s="12">
        <v>0.25017299999999998</v>
      </c>
      <c r="E91" s="10">
        <v>88</v>
      </c>
      <c r="F91" s="11">
        <v>0.21208399999999999</v>
      </c>
      <c r="G91" s="12">
        <v>0.21208399999999999</v>
      </c>
      <c r="I91" s="10">
        <v>88</v>
      </c>
      <c r="J91" s="11">
        <v>0.204952</v>
      </c>
      <c r="K91" s="12">
        <v>0.15164900000000001</v>
      </c>
      <c r="M91" s="10">
        <v>88</v>
      </c>
      <c r="N91" s="11">
        <v>0.17003299999999999</v>
      </c>
      <c r="O91" s="12">
        <v>0.116587</v>
      </c>
      <c r="Q91" s="10">
        <v>88</v>
      </c>
      <c r="R91" s="11">
        <v>0.13165099999999999</v>
      </c>
      <c r="S91" s="12">
        <v>0.110149</v>
      </c>
    </row>
    <row r="92" spans="1:19" x14ac:dyDescent="0.3">
      <c r="A92" s="10">
        <v>89</v>
      </c>
      <c r="B92" s="11">
        <v>0.26828800000000003</v>
      </c>
      <c r="C92" s="12">
        <v>0.26828800000000003</v>
      </c>
      <c r="E92" s="10">
        <v>89</v>
      </c>
      <c r="F92" s="11">
        <v>0.230661</v>
      </c>
      <c r="G92" s="12">
        <v>0.230661</v>
      </c>
      <c r="I92" s="10">
        <v>89</v>
      </c>
      <c r="J92" s="11">
        <v>0.22258800000000001</v>
      </c>
      <c r="K92" s="12">
        <v>0.16672699999999999</v>
      </c>
      <c r="M92" s="10">
        <v>89</v>
      </c>
      <c r="N92" s="11">
        <v>0.18497</v>
      </c>
      <c r="O92" s="12">
        <v>0.12841900000000001</v>
      </c>
      <c r="Q92" s="10">
        <v>89</v>
      </c>
      <c r="R92" s="11">
        <v>0.14501500000000001</v>
      </c>
      <c r="S92" s="12">
        <v>0.12164800000000001</v>
      </c>
    </row>
    <row r="93" spans="1:19" x14ac:dyDescent="0.3">
      <c r="A93" s="7">
        <v>90</v>
      </c>
      <c r="B93" s="8">
        <v>0.287435</v>
      </c>
      <c r="C93" s="9">
        <v>0.287435</v>
      </c>
      <c r="E93" s="7">
        <v>90</v>
      </c>
      <c r="F93" s="8">
        <v>0.25063200000000002</v>
      </c>
      <c r="G93" s="9">
        <v>0.25063200000000002</v>
      </c>
      <c r="I93" s="7">
        <v>90</v>
      </c>
      <c r="J93" s="8">
        <v>0.24150099999999999</v>
      </c>
      <c r="K93" s="9">
        <v>0.18316199999999999</v>
      </c>
      <c r="M93" s="7">
        <v>90</v>
      </c>
      <c r="N93" s="8">
        <v>0.20105500000000001</v>
      </c>
      <c r="O93" s="9">
        <v>0.14136099999999999</v>
      </c>
      <c r="Q93" s="7">
        <v>90</v>
      </c>
      <c r="R93" s="8">
        <v>0.15954299999999999</v>
      </c>
      <c r="S93" s="9">
        <v>0.134186</v>
      </c>
    </row>
    <row r="94" spans="1:19" x14ac:dyDescent="0.3">
      <c r="A94" s="10">
        <v>91</v>
      </c>
      <c r="B94" s="11">
        <v>0.30762400000000001</v>
      </c>
      <c r="C94" s="12">
        <v>0.30762400000000001</v>
      </c>
      <c r="E94" s="10">
        <v>91</v>
      </c>
      <c r="F94" s="11">
        <v>0.27207900000000002</v>
      </c>
      <c r="G94" s="12">
        <v>0.27207900000000002</v>
      </c>
      <c r="I94" s="10">
        <v>91</v>
      </c>
      <c r="J94" s="11">
        <v>0.26173800000000003</v>
      </c>
      <c r="K94" s="12">
        <v>0.201041</v>
      </c>
      <c r="M94" s="10">
        <v>91</v>
      </c>
      <c r="N94" s="11">
        <v>0.21834799999999999</v>
      </c>
      <c r="O94" s="12">
        <v>0.155497</v>
      </c>
      <c r="Q94" s="10">
        <v>91</v>
      </c>
      <c r="R94" s="11">
        <v>0.17529800000000001</v>
      </c>
      <c r="S94" s="12">
        <v>0.14782999999999999</v>
      </c>
    </row>
    <row r="95" spans="1:19" x14ac:dyDescent="0.3">
      <c r="A95" s="10">
        <v>92</v>
      </c>
      <c r="B95" s="11">
        <v>0.32888699999999998</v>
      </c>
      <c r="C95" s="12">
        <v>0.32888699999999998</v>
      </c>
      <c r="E95" s="10">
        <v>92</v>
      </c>
      <c r="F95" s="11">
        <v>0.29509000000000002</v>
      </c>
      <c r="G95" s="12">
        <v>0.29509000000000002</v>
      </c>
      <c r="I95" s="10">
        <v>92</v>
      </c>
      <c r="J95" s="11">
        <v>0.28334700000000002</v>
      </c>
      <c r="K95" s="12">
        <v>0.22045100000000001</v>
      </c>
      <c r="M95" s="10">
        <v>92</v>
      </c>
      <c r="N95" s="11">
        <v>0.23690700000000001</v>
      </c>
      <c r="O95" s="12">
        <v>0.17090900000000001</v>
      </c>
      <c r="Q95" s="10">
        <v>92</v>
      </c>
      <c r="R95" s="11">
        <v>0.19231599999999999</v>
      </c>
      <c r="S95" s="12">
        <v>0.16263</v>
      </c>
    </row>
    <row r="96" spans="1:19" x14ac:dyDescent="0.3">
      <c r="A96" s="10">
        <v>93</v>
      </c>
      <c r="B96" s="11">
        <v>0.351213</v>
      </c>
      <c r="C96" s="12">
        <v>0.351213</v>
      </c>
      <c r="E96" s="10">
        <v>93</v>
      </c>
      <c r="F96" s="11">
        <v>0.31975399999999998</v>
      </c>
      <c r="G96" s="12">
        <v>0.31975399999999998</v>
      </c>
      <c r="I96" s="10">
        <v>93</v>
      </c>
      <c r="J96" s="11">
        <v>0.30636400000000003</v>
      </c>
      <c r="K96" s="12">
        <v>0.24146699999999999</v>
      </c>
      <c r="M96" s="10">
        <v>93</v>
      </c>
      <c r="N96" s="11">
        <v>0.25678299999999998</v>
      </c>
      <c r="O96" s="12">
        <v>0.18768099999999999</v>
      </c>
      <c r="Q96" s="10">
        <v>93</v>
      </c>
      <c r="R96" s="11">
        <v>0.21062600000000001</v>
      </c>
      <c r="S96" s="12">
        <v>0.17863299999999999</v>
      </c>
    </row>
    <row r="97" spans="1:19" x14ac:dyDescent="0.3">
      <c r="A97" s="10">
        <v>94</v>
      </c>
      <c r="B97" s="11">
        <v>0.37460300000000002</v>
      </c>
      <c r="C97" s="12">
        <v>0.37460300000000002</v>
      </c>
      <c r="E97" s="10">
        <v>94</v>
      </c>
      <c r="F97" s="11">
        <v>0.34613100000000002</v>
      </c>
      <c r="G97" s="12">
        <v>0.34613100000000002</v>
      </c>
      <c r="I97" s="10">
        <v>94</v>
      </c>
      <c r="J97" s="11">
        <v>0.33076299999999997</v>
      </c>
      <c r="K97" s="12">
        <v>0.26411699999999999</v>
      </c>
      <c r="M97" s="10">
        <v>94</v>
      </c>
      <c r="N97" s="11">
        <v>0.278003</v>
      </c>
      <c r="O97" s="12">
        <v>0.20588500000000001</v>
      </c>
      <c r="Q97" s="10">
        <v>94</v>
      </c>
      <c r="R97" s="11">
        <v>0.23022999999999999</v>
      </c>
      <c r="S97" s="12">
        <v>0.195878</v>
      </c>
    </row>
    <row r="98" spans="1:19" x14ac:dyDescent="0.3">
      <c r="A98" s="10">
        <v>95</v>
      </c>
      <c r="B98" s="11">
        <v>0.39902399999999999</v>
      </c>
      <c r="C98" s="12">
        <v>0.39902399999999999</v>
      </c>
      <c r="E98" s="10">
        <v>95</v>
      </c>
      <c r="F98" s="11">
        <v>0.37429099999999998</v>
      </c>
      <c r="G98" s="12">
        <v>0.37429099999999998</v>
      </c>
      <c r="I98" s="10">
        <v>95</v>
      </c>
      <c r="J98" s="11">
        <v>0.35650500000000002</v>
      </c>
      <c r="K98" s="12">
        <v>0.28841499999999998</v>
      </c>
      <c r="M98" s="10">
        <v>95</v>
      </c>
      <c r="N98" s="11">
        <v>0.300589</v>
      </c>
      <c r="O98" s="12">
        <v>0.22559599999999999</v>
      </c>
      <c r="Q98" s="10">
        <v>95</v>
      </c>
      <c r="R98" s="11">
        <v>0.25112099999999998</v>
      </c>
      <c r="S98" s="12">
        <v>0.21437600000000001</v>
      </c>
    </row>
    <row r="99" spans="1:19" x14ac:dyDescent="0.3">
      <c r="A99" s="13">
        <v>96</v>
      </c>
      <c r="B99" s="14">
        <v>0.42447699999999999</v>
      </c>
      <c r="C99" s="15">
        <v>0.42447699999999999</v>
      </c>
      <c r="E99" s="13">
        <v>96</v>
      </c>
      <c r="F99" s="14">
        <v>0.40429799999999999</v>
      </c>
      <c r="G99" s="15">
        <v>0.40429799999999999</v>
      </c>
      <c r="I99" s="13">
        <v>96</v>
      </c>
      <c r="J99" s="14">
        <v>0.38355</v>
      </c>
      <c r="K99" s="15">
        <v>0.31437599999999999</v>
      </c>
      <c r="M99" s="13">
        <v>96</v>
      </c>
      <c r="N99" s="14">
        <v>0.32455899999999999</v>
      </c>
      <c r="O99" s="15">
        <v>0.246887</v>
      </c>
      <c r="Q99" s="13">
        <v>96</v>
      </c>
      <c r="R99" s="14">
        <v>0.27324700000000002</v>
      </c>
      <c r="S99" s="15">
        <v>0.23413600000000001</v>
      </c>
    </row>
    <row r="100" spans="1:19" x14ac:dyDescent="0.3">
      <c r="A100" s="10">
        <v>97</v>
      </c>
      <c r="B100" s="11">
        <v>0.45088899999999998</v>
      </c>
      <c r="C100" s="12">
        <v>0.45088899999999998</v>
      </c>
      <c r="E100" s="10">
        <v>97</v>
      </c>
      <c r="F100" s="11">
        <v>0.43622100000000003</v>
      </c>
      <c r="G100" s="12">
        <v>0.43622100000000003</v>
      </c>
      <c r="I100" s="10">
        <v>97</v>
      </c>
      <c r="J100" s="11">
        <v>0.41186</v>
      </c>
      <c r="K100" s="12">
        <v>0.34201599999999999</v>
      </c>
      <c r="M100" s="10">
        <v>97</v>
      </c>
      <c r="N100" s="11">
        <v>0.34993600000000002</v>
      </c>
      <c r="O100" s="12">
        <v>0.26983000000000001</v>
      </c>
      <c r="Q100" s="10">
        <v>97</v>
      </c>
      <c r="R100" s="11">
        <v>0.296543</v>
      </c>
      <c r="S100" s="12">
        <v>0.25513200000000003</v>
      </c>
    </row>
    <row r="101" spans="1:19" x14ac:dyDescent="0.3">
      <c r="A101" s="10">
        <v>98</v>
      </c>
      <c r="B101" s="11">
        <v>0.47822799999999999</v>
      </c>
      <c r="C101" s="12">
        <v>0.47822799999999999</v>
      </c>
      <c r="E101" s="10">
        <v>98</v>
      </c>
      <c r="F101" s="11">
        <v>0.46979700000000002</v>
      </c>
      <c r="G101" s="12">
        <v>0.46979700000000002</v>
      </c>
      <c r="I101" s="10">
        <v>98</v>
      </c>
      <c r="J101" s="11">
        <v>0.44139699999999998</v>
      </c>
      <c r="K101" s="12">
        <v>0.37135099999999999</v>
      </c>
      <c r="M101" s="10">
        <v>98</v>
      </c>
      <c r="N101" s="11">
        <v>0.37671700000000002</v>
      </c>
      <c r="O101" s="12">
        <v>0.29448000000000002</v>
      </c>
      <c r="Q101" s="10">
        <v>98</v>
      </c>
      <c r="R101" s="11">
        <v>0.32088499999999998</v>
      </c>
      <c r="S101" s="12">
        <v>0.27731</v>
      </c>
    </row>
    <row r="102" spans="1:19" x14ac:dyDescent="0.3">
      <c r="A102" s="10">
        <v>99</v>
      </c>
      <c r="B102" s="11">
        <v>0.50640099999999999</v>
      </c>
      <c r="C102" s="12">
        <v>0.50640099999999999</v>
      </c>
      <c r="E102" s="10">
        <v>99</v>
      </c>
      <c r="F102" s="11">
        <v>0.50514000000000003</v>
      </c>
      <c r="G102" s="12">
        <v>0.50514000000000003</v>
      </c>
      <c r="I102" s="10">
        <v>99</v>
      </c>
      <c r="J102" s="11">
        <v>0.47212999999999999</v>
      </c>
      <c r="K102" s="12">
        <v>0.40240300000000001</v>
      </c>
      <c r="M102" s="10">
        <v>99</v>
      </c>
      <c r="N102" s="11">
        <v>0.40481499999999998</v>
      </c>
      <c r="O102" s="12">
        <v>0.32080900000000001</v>
      </c>
      <c r="Q102" s="10">
        <v>99</v>
      </c>
      <c r="R102" s="11">
        <v>0.34612500000000002</v>
      </c>
      <c r="S102" s="12">
        <v>0.30059900000000001</v>
      </c>
    </row>
    <row r="103" spans="1:19" ht="18.75" thickBot="1" x14ac:dyDescent="0.35">
      <c r="A103" s="10">
        <v>100</v>
      </c>
      <c r="B103" s="11">
        <v>1</v>
      </c>
      <c r="C103" s="12">
        <v>1</v>
      </c>
      <c r="E103" s="10">
        <v>100</v>
      </c>
      <c r="F103" s="11">
        <v>1</v>
      </c>
      <c r="G103" s="12">
        <v>1</v>
      </c>
      <c r="I103" s="10">
        <v>100</v>
      </c>
      <c r="J103" s="11">
        <v>0.50403299999999995</v>
      </c>
      <c r="K103" s="12">
        <v>0.435197</v>
      </c>
      <c r="M103" s="10">
        <v>100</v>
      </c>
      <c r="N103" s="11">
        <v>0.43411899999999998</v>
      </c>
      <c r="O103" s="12">
        <v>0.348771</v>
      </c>
      <c r="Q103" s="10">
        <v>100</v>
      </c>
      <c r="R103" s="11">
        <v>0.37209799999999998</v>
      </c>
      <c r="S103" s="12">
        <v>0.32490000000000002</v>
      </c>
    </row>
    <row r="104" spans="1:19" x14ac:dyDescent="0.3">
      <c r="A104" s="62"/>
      <c r="B104" s="63"/>
      <c r="C104" s="63"/>
      <c r="E104" s="62"/>
      <c r="F104" s="63"/>
      <c r="G104" s="63"/>
      <c r="I104" s="13">
        <v>101</v>
      </c>
      <c r="J104" s="14">
        <v>0.53707800000000006</v>
      </c>
      <c r="K104" s="15">
        <v>0.46975600000000001</v>
      </c>
      <c r="M104" s="13">
        <v>101</v>
      </c>
      <c r="N104" s="14">
        <v>0.46451999999999999</v>
      </c>
      <c r="O104" s="15">
        <v>0.37831900000000002</v>
      </c>
      <c r="Q104" s="13">
        <v>101</v>
      </c>
      <c r="R104" s="14">
        <v>0.39849200000000001</v>
      </c>
      <c r="S104" s="15">
        <v>0.35000999999999999</v>
      </c>
    </row>
    <row r="105" spans="1:19" x14ac:dyDescent="0.3">
      <c r="A105" s="64"/>
      <c r="B105" s="65"/>
      <c r="C105" s="65"/>
      <c r="E105" s="64"/>
      <c r="F105" s="65"/>
      <c r="G105" s="65"/>
      <c r="I105" s="10">
        <v>102</v>
      </c>
      <c r="J105" s="11">
        <v>0.57123500000000005</v>
      </c>
      <c r="K105" s="12">
        <v>0.50610500000000003</v>
      </c>
      <c r="M105" s="10">
        <v>102</v>
      </c>
      <c r="N105" s="11">
        <v>0.49590800000000002</v>
      </c>
      <c r="O105" s="12">
        <v>0.40940599999999999</v>
      </c>
      <c r="Q105" s="10">
        <v>102</v>
      </c>
      <c r="R105" s="11">
        <v>0.42504799999999998</v>
      </c>
      <c r="S105" s="12">
        <v>0.375751</v>
      </c>
    </row>
    <row r="106" spans="1:19" x14ac:dyDescent="0.3">
      <c r="A106" s="64"/>
      <c r="B106" s="65"/>
      <c r="C106" s="65"/>
      <c r="E106" s="64"/>
      <c r="F106" s="65"/>
      <c r="G106" s="65"/>
      <c r="I106" s="10">
        <v>103</v>
      </c>
      <c r="J106" s="11">
        <v>0.60537300000000005</v>
      </c>
      <c r="K106" s="12">
        <v>0.54304300000000005</v>
      </c>
      <c r="M106" s="10">
        <v>103</v>
      </c>
      <c r="N106" s="11">
        <v>0.52817499999999995</v>
      </c>
      <c r="O106" s="12">
        <v>0.44198700000000002</v>
      </c>
      <c r="Q106" s="10">
        <v>103</v>
      </c>
      <c r="R106" s="11">
        <v>0.451436</v>
      </c>
      <c r="S106" s="12">
        <v>0.40188000000000001</v>
      </c>
    </row>
    <row r="107" spans="1:19" x14ac:dyDescent="0.3">
      <c r="A107" s="64"/>
      <c r="B107" s="65"/>
      <c r="C107" s="65"/>
      <c r="E107" s="64"/>
      <c r="F107" s="65"/>
      <c r="G107" s="65"/>
      <c r="I107" s="10">
        <v>104</v>
      </c>
      <c r="J107" s="11">
        <v>0.639737</v>
      </c>
      <c r="K107" s="12">
        <v>0.58083700000000005</v>
      </c>
      <c r="M107" s="10">
        <v>104</v>
      </c>
      <c r="N107" s="11">
        <v>0.56122499999999997</v>
      </c>
      <c r="O107" s="12">
        <v>0.47603000000000001</v>
      </c>
      <c r="Q107" s="10">
        <v>104</v>
      </c>
      <c r="R107" s="11">
        <v>0.47729500000000002</v>
      </c>
      <c r="S107" s="12">
        <v>0.42811300000000002</v>
      </c>
    </row>
    <row r="108" spans="1:19" ht="18.75" thickBot="1" x14ac:dyDescent="0.35">
      <c r="A108" s="64"/>
      <c r="B108" s="65"/>
      <c r="C108" s="65"/>
      <c r="E108" s="64"/>
      <c r="F108" s="65"/>
      <c r="G108" s="65"/>
      <c r="I108" s="10">
        <v>105</v>
      </c>
      <c r="J108" s="11">
        <v>1</v>
      </c>
      <c r="K108" s="12">
        <v>1</v>
      </c>
      <c r="M108" s="7">
        <v>105</v>
      </c>
      <c r="N108" s="8">
        <v>0.59496700000000002</v>
      </c>
      <c r="O108" s="9">
        <v>0.51150099999999998</v>
      </c>
      <c r="Q108" s="7">
        <v>105</v>
      </c>
      <c r="R108" s="8">
        <v>0.50224299999999999</v>
      </c>
      <c r="S108" s="9">
        <v>0.454129</v>
      </c>
    </row>
    <row r="109" spans="1:19" x14ac:dyDescent="0.3">
      <c r="A109" s="64"/>
      <c r="B109" s="65"/>
      <c r="C109" s="65"/>
      <c r="E109" s="64"/>
      <c r="F109" s="65"/>
      <c r="G109" s="65"/>
      <c r="I109" s="62"/>
      <c r="J109" s="63"/>
      <c r="K109" s="63"/>
      <c r="M109" s="10">
        <v>106</v>
      </c>
      <c r="N109" s="11">
        <v>0.62930699999999995</v>
      </c>
      <c r="O109" s="12">
        <v>0.54837100000000005</v>
      </c>
      <c r="Q109" s="10">
        <v>106</v>
      </c>
      <c r="R109" s="11">
        <v>0.52589699999999995</v>
      </c>
      <c r="S109" s="12">
        <v>0.47958000000000001</v>
      </c>
    </row>
    <row r="110" spans="1:19" x14ac:dyDescent="0.3">
      <c r="A110" s="64"/>
      <c r="B110" s="64"/>
      <c r="C110" s="65"/>
      <c r="E110" s="64"/>
      <c r="F110" s="64"/>
      <c r="G110" s="65"/>
      <c r="I110" s="64"/>
      <c r="J110" s="64"/>
      <c r="K110" s="65"/>
      <c r="M110" s="10">
        <v>107</v>
      </c>
      <c r="N110" s="16">
        <v>0.66415199999999996</v>
      </c>
      <c r="O110" s="12">
        <v>0.58660699999999999</v>
      </c>
      <c r="Q110" s="10">
        <v>107</v>
      </c>
      <c r="R110" s="16">
        <v>0.54789200000000005</v>
      </c>
      <c r="S110" s="12">
        <v>0.50409999999999999</v>
      </c>
    </row>
    <row r="111" spans="1:19" x14ac:dyDescent="0.3">
      <c r="A111" s="64"/>
      <c r="B111" s="64"/>
      <c r="C111" s="65"/>
      <c r="E111" s="64"/>
      <c r="F111" s="64"/>
      <c r="G111" s="65"/>
      <c r="I111" s="64"/>
      <c r="J111" s="64"/>
      <c r="K111" s="65"/>
      <c r="M111" s="10">
        <v>108</v>
      </c>
      <c r="N111" s="16">
        <v>0.69807799999999998</v>
      </c>
      <c r="O111" s="12">
        <v>0.62455799999999995</v>
      </c>
      <c r="Q111" s="10">
        <v>108</v>
      </c>
      <c r="R111" s="16">
        <v>0.56790300000000005</v>
      </c>
      <c r="S111" s="12">
        <v>0.52732299999999999</v>
      </c>
    </row>
    <row r="112" spans="1:19" x14ac:dyDescent="0.3">
      <c r="A112" s="64"/>
      <c r="B112" s="64"/>
      <c r="C112" s="64"/>
      <c r="E112" s="64"/>
      <c r="F112" s="64"/>
      <c r="G112" s="64"/>
      <c r="I112" s="64"/>
      <c r="J112" s="64"/>
      <c r="K112" s="64"/>
      <c r="M112" s="10">
        <v>109</v>
      </c>
      <c r="N112" s="16">
        <v>0.73138400000000003</v>
      </c>
      <c r="O112" s="17">
        <v>0.66258799999999995</v>
      </c>
      <c r="Q112" s="10">
        <v>109</v>
      </c>
      <c r="R112" s="16">
        <v>0.58567199999999997</v>
      </c>
      <c r="S112" s="17">
        <v>0.54890499999999998</v>
      </c>
    </row>
    <row r="113" spans="1:19" ht="18.75" thickBot="1" x14ac:dyDescent="0.35">
      <c r="A113" s="64"/>
      <c r="B113" s="65"/>
      <c r="C113" s="65"/>
      <c r="E113" s="64"/>
      <c r="F113" s="65"/>
      <c r="G113" s="65"/>
      <c r="I113" s="64"/>
      <c r="J113" s="65"/>
      <c r="K113" s="65"/>
      <c r="M113" s="18">
        <v>110</v>
      </c>
      <c r="N113" s="19">
        <v>1</v>
      </c>
      <c r="O113" s="20">
        <v>1</v>
      </c>
      <c r="Q113" s="18">
        <v>110</v>
      </c>
      <c r="R113" s="19">
        <v>1</v>
      </c>
      <c r="S113" s="20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298"/>
  <sheetViews>
    <sheetView showGridLines="0" tabSelected="1" zoomScaleNormal="100" workbookViewId="0">
      <pane ySplit="2" topLeftCell="A3" activePane="bottomLeft" state="frozenSplit"/>
      <selection pane="bottomLeft" activeCell="I7" sqref="I7"/>
    </sheetView>
  </sheetViews>
  <sheetFormatPr defaultColWidth="11.625" defaultRowHeight="15" x14ac:dyDescent="0.25"/>
  <cols>
    <col min="1" max="6" width="11.625" style="325"/>
    <col min="7" max="7" width="11.625" style="325" customWidth="1"/>
    <col min="8" max="16384" width="11.625" style="325"/>
  </cols>
  <sheetData>
    <row r="1" spans="1:20" ht="25.5" customHeight="1" x14ac:dyDescent="0.25">
      <c r="A1" s="335" t="s">
        <v>330</v>
      </c>
      <c r="B1" s="335"/>
      <c r="C1" s="335"/>
      <c r="D1" s="335"/>
      <c r="E1" s="335"/>
      <c r="F1" s="335"/>
      <c r="G1" s="335"/>
      <c r="H1" s="335"/>
      <c r="I1" s="322" t="s">
        <v>331</v>
      </c>
      <c r="J1" s="322" t="s">
        <v>337</v>
      </c>
      <c r="L1" s="100" t="s">
        <v>328</v>
      </c>
      <c r="M1" s="352" t="s">
        <v>324</v>
      </c>
      <c r="N1" s="352"/>
      <c r="O1" s="100" t="s">
        <v>106</v>
      </c>
      <c r="P1" s="352" t="s">
        <v>338</v>
      </c>
      <c r="Q1" s="352"/>
      <c r="R1" s="352"/>
      <c r="S1" s="352"/>
      <c r="T1" s="352"/>
    </row>
    <row r="2" spans="1:20" ht="25.5" customHeight="1" thickBot="1" x14ac:dyDescent="0.3">
      <c r="A2" s="322" t="s">
        <v>349</v>
      </c>
      <c r="B2" s="336" t="s">
        <v>359</v>
      </c>
      <c r="C2" s="336"/>
      <c r="D2" s="336"/>
      <c r="E2" s="336"/>
      <c r="F2" s="336"/>
      <c r="G2" s="322" t="s">
        <v>327</v>
      </c>
      <c r="H2" s="323" t="s">
        <v>340</v>
      </c>
      <c r="I2" s="322"/>
      <c r="J2" s="322"/>
      <c r="L2" s="100" t="s">
        <v>328</v>
      </c>
      <c r="M2" s="353" t="s">
        <v>324</v>
      </c>
      <c r="N2" s="353"/>
      <c r="O2" s="100" t="s">
        <v>106</v>
      </c>
      <c r="P2" s="352" t="s">
        <v>338</v>
      </c>
      <c r="Q2" s="352"/>
      <c r="R2" s="352"/>
      <c r="S2" s="352"/>
      <c r="T2" s="352"/>
    </row>
    <row r="3" spans="1:20" s="320" customFormat="1" ht="18.75" thickTop="1" x14ac:dyDescent="0.25">
      <c r="A3" s="333" t="s">
        <v>140</v>
      </c>
      <c r="B3" s="333"/>
      <c r="C3" s="320" t="s">
        <v>350</v>
      </c>
    </row>
    <row r="4" spans="1:20" s="34" customFormat="1" x14ac:dyDescent="0.25">
      <c r="A4" s="33" t="s">
        <v>141</v>
      </c>
      <c r="B4" s="33">
        <v>1</v>
      </c>
      <c r="D4" s="33" t="s">
        <v>142</v>
      </c>
      <c r="E4" s="34">
        <v>2</v>
      </c>
      <c r="F4" s="33" t="s">
        <v>274</v>
      </c>
      <c r="G4" s="34">
        <v>1</v>
      </c>
    </row>
    <row r="5" spans="1:20" s="34" customFormat="1" ht="15.75" thickBot="1" x14ac:dyDescent="0.3">
      <c r="A5" s="33" t="s">
        <v>143</v>
      </c>
      <c r="B5" s="33"/>
      <c r="C5" s="33"/>
    </row>
    <row r="6" spans="1:20" s="22" customFormat="1" x14ac:dyDescent="0.25">
      <c r="A6" s="26" t="s">
        <v>144</v>
      </c>
      <c r="B6" s="32">
        <v>40625</v>
      </c>
      <c r="C6" s="27"/>
      <c r="D6" s="27"/>
      <c r="E6" s="28"/>
    </row>
    <row r="7" spans="1:20" x14ac:dyDescent="0.25">
      <c r="A7" s="29" t="s">
        <v>145</v>
      </c>
      <c r="B7" s="24" t="s">
        <v>339</v>
      </c>
      <c r="C7" s="25"/>
      <c r="D7" s="25"/>
      <c r="E7" s="30"/>
    </row>
    <row r="8" spans="1:20" s="77" customFormat="1" ht="15.75" thickBot="1" x14ac:dyDescent="0.3">
      <c r="A8" s="31" t="s">
        <v>146</v>
      </c>
      <c r="B8" s="234" t="s">
        <v>322</v>
      </c>
      <c r="C8" s="76"/>
      <c r="D8" s="76"/>
      <c r="E8" s="102"/>
    </row>
    <row r="9" spans="1:20" s="23" customFormat="1" x14ac:dyDescent="0.25">
      <c r="A9" s="325"/>
    </row>
    <row r="10" spans="1:20" s="321" customFormat="1" ht="18" x14ac:dyDescent="0.25">
      <c r="A10" s="334" t="s">
        <v>147</v>
      </c>
      <c r="B10" s="334"/>
    </row>
    <row r="11" spans="1:20" x14ac:dyDescent="0.25">
      <c r="A11" s="46" t="s">
        <v>148</v>
      </c>
      <c r="B11" s="325">
        <v>1</v>
      </c>
    </row>
    <row r="12" spans="1:20" x14ac:dyDescent="0.25">
      <c r="A12" s="46" t="s">
        <v>149</v>
      </c>
      <c r="B12" s="325">
        <v>1</v>
      </c>
      <c r="C12" s="114" t="s">
        <v>268</v>
      </c>
      <c r="D12" s="115">
        <v>1</v>
      </c>
    </row>
    <row r="13" spans="1:20" x14ac:dyDescent="0.25">
      <c r="A13" s="368" t="s">
        <v>150</v>
      </c>
      <c r="B13" s="369"/>
      <c r="C13" s="369"/>
      <c r="D13" s="370">
        <v>1</v>
      </c>
      <c r="E13" s="337" t="s">
        <v>151</v>
      </c>
      <c r="F13" s="338"/>
      <c r="G13" s="341" t="s">
        <v>152</v>
      </c>
      <c r="H13" s="342"/>
    </row>
    <row r="14" spans="1:20" ht="15.75" thickBot="1" x14ac:dyDescent="0.3">
      <c r="A14" s="371" t="s">
        <v>353</v>
      </c>
      <c r="B14" s="372"/>
      <c r="C14" s="345" t="s">
        <v>354</v>
      </c>
      <c r="D14" s="340"/>
      <c r="E14" s="339"/>
      <c r="F14" s="340"/>
      <c r="G14" s="343"/>
      <c r="H14" s="344"/>
    </row>
    <row r="15" spans="1:20" ht="15.75" thickTop="1" x14ac:dyDescent="0.25">
      <c r="A15" s="373" t="s">
        <v>153</v>
      </c>
      <c r="B15" s="374">
        <v>2</v>
      </c>
      <c r="C15" s="167" t="s">
        <v>153</v>
      </c>
      <c r="D15" s="168"/>
      <c r="E15" s="169" t="s">
        <v>153</v>
      </c>
      <c r="F15" s="168"/>
      <c r="G15" s="167" t="s">
        <v>154</v>
      </c>
      <c r="H15" s="172"/>
    </row>
    <row r="16" spans="1:20" x14ac:dyDescent="0.25">
      <c r="A16" s="373" t="s">
        <v>155</v>
      </c>
      <c r="B16" s="374">
        <v>1</v>
      </c>
      <c r="C16" s="167" t="s">
        <v>155</v>
      </c>
      <c r="D16" s="168"/>
      <c r="E16" s="169" t="s">
        <v>156</v>
      </c>
      <c r="F16" s="168"/>
      <c r="G16" s="167" t="s">
        <v>157</v>
      </c>
      <c r="H16" s="172"/>
    </row>
    <row r="17" spans="1:10" ht="15.75" customHeight="1" x14ac:dyDescent="0.25">
      <c r="A17" s="373" t="s">
        <v>360</v>
      </c>
      <c r="B17" s="378"/>
      <c r="C17" s="167" t="s">
        <v>329</v>
      </c>
      <c r="D17" s="168"/>
      <c r="E17" s="169" t="s">
        <v>158</v>
      </c>
      <c r="F17" s="168"/>
      <c r="G17" s="167" t="s">
        <v>159</v>
      </c>
      <c r="H17" s="172"/>
    </row>
    <row r="18" spans="1:10" x14ac:dyDescent="0.25">
      <c r="A18" s="373" t="s">
        <v>160</v>
      </c>
      <c r="B18" s="374"/>
      <c r="C18" s="167" t="s">
        <v>160</v>
      </c>
      <c r="D18" s="168"/>
      <c r="E18" s="169" t="s">
        <v>161</v>
      </c>
      <c r="F18" s="170"/>
      <c r="G18" s="167" t="s">
        <v>162</v>
      </c>
      <c r="H18" s="172"/>
    </row>
    <row r="19" spans="1:10" x14ac:dyDescent="0.25">
      <c r="A19" s="373" t="s">
        <v>163</v>
      </c>
      <c r="B19" s="375"/>
      <c r="C19" s="167" t="s">
        <v>163</v>
      </c>
      <c r="D19" s="267"/>
      <c r="E19" s="169"/>
      <c r="F19" s="168"/>
      <c r="G19" s="167"/>
      <c r="H19" s="172"/>
    </row>
    <row r="20" spans="1:10" x14ac:dyDescent="0.3">
      <c r="A20" s="376" t="s">
        <v>164</v>
      </c>
      <c r="B20" s="377">
        <v>1</v>
      </c>
      <c r="C20" s="268" t="s">
        <v>164</v>
      </c>
      <c r="D20" s="269"/>
      <c r="E20" s="171"/>
      <c r="F20" s="171"/>
      <c r="G20" s="173"/>
      <c r="H20" s="174"/>
    </row>
    <row r="22" spans="1:10" x14ac:dyDescent="0.25">
      <c r="A22" s="45" t="s">
        <v>165</v>
      </c>
    </row>
    <row r="23" spans="1:10" x14ac:dyDescent="0.25">
      <c r="A23" s="357" t="s">
        <v>269</v>
      </c>
      <c r="B23" s="358"/>
      <c r="C23" s="325">
        <v>2</v>
      </c>
      <c r="D23" s="235">
        <v>3</v>
      </c>
      <c r="E23" s="192" t="s">
        <v>166</v>
      </c>
      <c r="F23" s="236">
        <v>-1</v>
      </c>
      <c r="G23" s="82" t="b">
        <v>0</v>
      </c>
    </row>
    <row r="24" spans="1:10" x14ac:dyDescent="0.25">
      <c r="A24" s="325" t="b">
        <v>1</v>
      </c>
      <c r="E24" s="354" t="s">
        <v>167</v>
      </c>
      <c r="F24" s="354"/>
    </row>
    <row r="25" spans="1:10" x14ac:dyDescent="0.25">
      <c r="A25" s="325" t="b">
        <v>1</v>
      </c>
      <c r="B25" s="44" t="s">
        <v>168</v>
      </c>
      <c r="C25" s="325">
        <v>1</v>
      </c>
      <c r="D25" s="325" t="b">
        <v>0</v>
      </c>
    </row>
    <row r="26" spans="1:10" x14ac:dyDescent="0.25">
      <c r="A26" s="325" t="b">
        <v>1</v>
      </c>
      <c r="B26" s="325">
        <v>2</v>
      </c>
      <c r="C26" s="33" t="s">
        <v>184</v>
      </c>
      <c r="D26" s="33">
        <v>2</v>
      </c>
    </row>
    <row r="28" spans="1:10" x14ac:dyDescent="0.25">
      <c r="A28" s="316" t="s">
        <v>169</v>
      </c>
      <c r="B28" s="325" t="b">
        <v>1</v>
      </c>
      <c r="C28" s="325">
        <v>1</v>
      </c>
      <c r="D28" s="73">
        <v>16</v>
      </c>
      <c r="E28" s="348" t="s">
        <v>170</v>
      </c>
      <c r="F28" s="348"/>
      <c r="G28" s="53">
        <v>0.04</v>
      </c>
    </row>
    <row r="30" spans="1:10" x14ac:dyDescent="0.25">
      <c r="A30" s="45" t="s">
        <v>171</v>
      </c>
      <c r="C30" s="129"/>
      <c r="D30" s="129"/>
      <c r="E30" s="128"/>
    </row>
    <row r="31" spans="1:10" ht="15.75" thickBot="1" x14ac:dyDescent="0.3">
      <c r="A31" s="47" t="s">
        <v>172</v>
      </c>
      <c r="B31" s="237">
        <v>1</v>
      </c>
      <c r="C31" s="97">
        <v>2</v>
      </c>
      <c r="D31" s="97">
        <v>3</v>
      </c>
      <c r="E31" s="97">
        <v>4</v>
      </c>
      <c r="F31" s="97">
        <v>5</v>
      </c>
      <c r="G31" s="97">
        <v>6</v>
      </c>
      <c r="H31" s="98">
        <v>7</v>
      </c>
      <c r="I31" s="97">
        <v>8</v>
      </c>
      <c r="J31" s="99">
        <v>9</v>
      </c>
    </row>
    <row r="32" spans="1:10" ht="15.75" thickTop="1" x14ac:dyDescent="0.25">
      <c r="A32" s="48" t="s">
        <v>173</v>
      </c>
      <c r="B32" s="238">
        <v>2</v>
      </c>
      <c r="C32" s="88"/>
      <c r="D32" s="88"/>
      <c r="E32" s="88"/>
      <c r="F32" s="88"/>
      <c r="G32" s="88"/>
      <c r="H32" s="89"/>
      <c r="I32" s="88"/>
      <c r="J32" s="90"/>
    </row>
    <row r="33" spans="1:16" x14ac:dyDescent="0.25">
      <c r="A33" s="49" t="s">
        <v>174</v>
      </c>
      <c r="B33" s="239">
        <v>2</v>
      </c>
      <c r="C33" s="91"/>
      <c r="D33" s="91"/>
      <c r="E33" s="91"/>
      <c r="F33" s="91"/>
      <c r="G33" s="91"/>
      <c r="H33" s="92"/>
      <c r="I33" s="91"/>
      <c r="J33" s="93"/>
    </row>
    <row r="34" spans="1:16" x14ac:dyDescent="0.25">
      <c r="A34" s="49" t="s">
        <v>175</v>
      </c>
      <c r="B34" s="239">
        <v>0</v>
      </c>
      <c r="C34" s="91"/>
      <c r="D34" s="91"/>
      <c r="E34" s="91"/>
      <c r="F34" s="91"/>
      <c r="G34" s="91"/>
      <c r="H34" s="92"/>
      <c r="I34" s="91"/>
      <c r="J34" s="93"/>
    </row>
    <row r="35" spans="1:16" x14ac:dyDescent="0.25">
      <c r="A35" s="50" t="s">
        <v>176</v>
      </c>
      <c r="B35" s="240">
        <v>1</v>
      </c>
      <c r="C35" s="94"/>
      <c r="D35" s="94"/>
      <c r="E35" s="94"/>
      <c r="F35" s="94"/>
      <c r="G35" s="94"/>
      <c r="H35" s="95"/>
      <c r="I35" s="94"/>
      <c r="J35" s="96"/>
    </row>
    <row r="37" spans="1:16" x14ac:dyDescent="0.25">
      <c r="A37" s="45" t="s">
        <v>177</v>
      </c>
      <c r="B37" s="325">
        <v>0</v>
      </c>
    </row>
    <row r="38" spans="1:16" ht="18" x14ac:dyDescent="0.25">
      <c r="A38" s="270"/>
      <c r="B38" s="271"/>
      <c r="C38" s="349" t="s">
        <v>361</v>
      </c>
      <c r="D38" s="350"/>
      <c r="E38" s="349" t="s">
        <v>362</v>
      </c>
      <c r="F38" s="350"/>
      <c r="G38" s="87"/>
      <c r="H38" s="87"/>
    </row>
    <row r="39" spans="1:16" ht="15.75" thickBot="1" x14ac:dyDescent="0.3">
      <c r="A39" s="362" t="s">
        <v>178</v>
      </c>
      <c r="B39" s="363"/>
      <c r="C39" s="175" t="s">
        <v>179</v>
      </c>
      <c r="D39" s="176" t="s">
        <v>180</v>
      </c>
      <c r="E39" s="175" t="s">
        <v>179</v>
      </c>
      <c r="F39" s="176" t="s">
        <v>180</v>
      </c>
      <c r="G39" s="87"/>
      <c r="H39" s="87"/>
    </row>
    <row r="40" spans="1:16" ht="15.75" thickTop="1" x14ac:dyDescent="0.25">
      <c r="A40" s="272" t="s">
        <v>181</v>
      </c>
      <c r="B40" s="273">
        <v>0</v>
      </c>
      <c r="C40" s="177"/>
      <c r="D40" s="178"/>
      <c r="E40" s="177"/>
      <c r="F40" s="178"/>
      <c r="G40" s="87"/>
      <c r="H40" s="87"/>
    </row>
    <row r="41" spans="1:16" x14ac:dyDescent="0.25">
      <c r="A41" s="272" t="s">
        <v>174</v>
      </c>
      <c r="B41" s="273"/>
      <c r="C41" s="179"/>
      <c r="D41" s="178"/>
      <c r="E41" s="179"/>
      <c r="F41" s="178"/>
      <c r="G41" s="87"/>
      <c r="H41" s="87"/>
    </row>
    <row r="42" spans="1:16" x14ac:dyDescent="0.25">
      <c r="A42" s="272" t="s">
        <v>182</v>
      </c>
      <c r="B42" s="273"/>
      <c r="C42" s="179"/>
      <c r="D42" s="178"/>
      <c r="E42" s="179"/>
      <c r="F42" s="178"/>
      <c r="G42" s="87"/>
      <c r="H42" s="87"/>
    </row>
    <row r="43" spans="1:16" x14ac:dyDescent="0.25">
      <c r="A43" s="272" t="s">
        <v>183</v>
      </c>
      <c r="B43" s="273"/>
      <c r="C43" s="179"/>
      <c r="D43" s="178"/>
      <c r="E43" s="179"/>
      <c r="F43" s="178"/>
      <c r="G43" s="87"/>
      <c r="H43" s="87"/>
      <c r="K43" s="53"/>
    </row>
    <row r="44" spans="1:16" x14ac:dyDescent="0.25">
      <c r="A44" s="272" t="s">
        <v>184</v>
      </c>
      <c r="B44" s="273"/>
      <c r="C44" s="179"/>
      <c r="D44" s="178"/>
      <c r="E44" s="179"/>
      <c r="F44" s="178"/>
      <c r="G44" s="87"/>
      <c r="H44" s="87"/>
    </row>
    <row r="45" spans="1:16" x14ac:dyDescent="0.25">
      <c r="A45" s="274"/>
      <c r="B45" s="275"/>
      <c r="C45" s="180"/>
      <c r="D45" s="181"/>
      <c r="E45" s="180"/>
      <c r="F45" s="181"/>
    </row>
    <row r="47" spans="1:16" s="83" customFormat="1" ht="18" x14ac:dyDescent="0.25">
      <c r="A47" s="361" t="s">
        <v>185</v>
      </c>
      <c r="B47" s="361"/>
      <c r="C47" s="319" t="b">
        <v>0</v>
      </c>
      <c r="D47" s="319" t="b">
        <v>0</v>
      </c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</row>
    <row r="48" spans="1:16" s="108" customFormat="1" ht="15.75" thickBot="1" x14ac:dyDescent="0.3">
      <c r="A48" s="51" t="s">
        <v>186</v>
      </c>
      <c r="B48" s="381" t="s">
        <v>351</v>
      </c>
      <c r="C48" s="252" t="s">
        <v>352</v>
      </c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</row>
    <row r="49" spans="1:27" s="108" customFormat="1" ht="15.75" thickTop="1" x14ac:dyDescent="0.25">
      <c r="A49" s="109" t="s">
        <v>249</v>
      </c>
      <c r="B49" s="110">
        <v>20</v>
      </c>
      <c r="C49" s="251">
        <v>60</v>
      </c>
      <c r="D49" s="110"/>
      <c r="E49" s="110"/>
      <c r="F49" s="110"/>
      <c r="G49" s="110"/>
      <c r="H49" s="110"/>
      <c r="I49" s="110"/>
    </row>
    <row r="50" spans="1:27" s="108" customFormat="1" x14ac:dyDescent="0.25">
      <c r="A50" s="109" t="s">
        <v>250</v>
      </c>
      <c r="B50" s="110">
        <v>20</v>
      </c>
      <c r="C50" s="251">
        <v>60</v>
      </c>
      <c r="D50" s="110"/>
      <c r="E50" s="110"/>
      <c r="F50" s="110"/>
      <c r="G50" s="110"/>
      <c r="H50" s="110"/>
      <c r="I50" s="110"/>
    </row>
    <row r="51" spans="1:27" s="108" customFormat="1" x14ac:dyDescent="0.25">
      <c r="A51" s="109" t="s">
        <v>251</v>
      </c>
      <c r="B51" s="110">
        <v>1</v>
      </c>
      <c r="C51" s="251">
        <v>2</v>
      </c>
      <c r="D51" s="110"/>
      <c r="E51" s="110"/>
      <c r="F51" s="110"/>
      <c r="G51" s="110"/>
      <c r="H51" s="110"/>
      <c r="I51" s="110"/>
    </row>
    <row r="52" spans="1:27" s="108" customFormat="1" x14ac:dyDescent="0.25">
      <c r="A52" s="109" t="s">
        <v>252</v>
      </c>
      <c r="B52" s="110">
        <v>111</v>
      </c>
      <c r="C52" s="251">
        <v>111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</row>
    <row r="53" spans="1:27" s="108" customFormat="1" x14ac:dyDescent="0.25">
      <c r="A53" s="109" t="s">
        <v>253</v>
      </c>
      <c r="B53" s="110">
        <v>2</v>
      </c>
      <c r="C53" s="251">
        <v>2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</row>
    <row r="54" spans="1:27" s="108" customFormat="1" hidden="1" x14ac:dyDescent="0.25">
      <c r="A54" s="109" t="s">
        <v>254</v>
      </c>
      <c r="B54" s="110"/>
      <c r="C54" s="251"/>
      <c r="D54" s="110"/>
      <c r="E54" s="110"/>
      <c r="F54" s="110"/>
      <c r="G54" s="110"/>
      <c r="H54" s="110"/>
      <c r="I54" s="110"/>
    </row>
    <row r="55" spans="1:27" s="108" customFormat="1" hidden="1" x14ac:dyDescent="0.25">
      <c r="A55" s="109" t="s">
        <v>255</v>
      </c>
      <c r="B55" s="110"/>
      <c r="C55" s="251"/>
      <c r="D55" s="110"/>
      <c r="E55" s="110"/>
      <c r="F55" s="110"/>
      <c r="G55" s="110"/>
      <c r="H55" s="110"/>
      <c r="I55" s="110"/>
    </row>
    <row r="56" spans="1:27" s="108" customFormat="1" hidden="1" x14ac:dyDescent="0.25">
      <c r="A56" s="111" t="s">
        <v>256</v>
      </c>
      <c r="B56" s="379"/>
      <c r="C56" s="253"/>
      <c r="D56" s="110"/>
      <c r="E56" s="110"/>
      <c r="F56" s="110"/>
      <c r="G56" s="110"/>
      <c r="H56" s="110"/>
      <c r="I56" s="110"/>
    </row>
    <row r="57" spans="1:27" s="108" customFormat="1" x14ac:dyDescent="0.25">
      <c r="A57" s="109" t="s">
        <v>257</v>
      </c>
      <c r="B57" s="110">
        <v>0</v>
      </c>
      <c r="C57" s="251">
        <v>0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</row>
    <row r="58" spans="1:27" s="108" customFormat="1" x14ac:dyDescent="0.25">
      <c r="A58" s="109" t="s">
        <v>258</v>
      </c>
      <c r="B58" s="110">
        <f>80-B50</f>
        <v>60</v>
      </c>
      <c r="C58" s="251">
        <v>54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</row>
    <row r="59" spans="1:27" s="108" customFormat="1" x14ac:dyDescent="0.25">
      <c r="A59" s="109" t="s">
        <v>259</v>
      </c>
      <c r="B59" s="110">
        <v>0</v>
      </c>
      <c r="C59" s="251">
        <v>0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</row>
    <row r="60" spans="1:27" s="108" customFormat="1" x14ac:dyDescent="0.25">
      <c r="A60" s="112" t="s">
        <v>260</v>
      </c>
      <c r="B60" s="380">
        <f>B58</f>
        <v>60</v>
      </c>
      <c r="C60" s="254">
        <v>54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</row>
    <row r="61" spans="1:27" s="108" customFormat="1" hidden="1" x14ac:dyDescent="0.25">
      <c r="A61" s="113" t="s">
        <v>261</v>
      </c>
      <c r="B61" s="306"/>
      <c r="C61" s="308"/>
    </row>
    <row r="62" spans="1:27" s="108" customFormat="1" hidden="1" x14ac:dyDescent="0.25">
      <c r="A62" s="109" t="s">
        <v>257</v>
      </c>
      <c r="B62" s="251"/>
    </row>
    <row r="63" spans="1:27" s="108" customFormat="1" hidden="1" x14ac:dyDescent="0.25">
      <c r="A63" s="109" t="s">
        <v>258</v>
      </c>
      <c r="B63" s="251"/>
    </row>
    <row r="64" spans="1:27" s="108" customFormat="1" hidden="1" x14ac:dyDescent="0.25">
      <c r="A64" s="109" t="s">
        <v>262</v>
      </c>
      <c r="B64" s="251"/>
    </row>
    <row r="65" spans="1:7" s="108" customFormat="1" hidden="1" x14ac:dyDescent="0.25">
      <c r="A65" s="112" t="s">
        <v>262</v>
      </c>
      <c r="B65" s="254"/>
    </row>
    <row r="67" spans="1:7" s="318" customFormat="1" ht="18" x14ac:dyDescent="0.25">
      <c r="A67" s="360" t="s">
        <v>187</v>
      </c>
      <c r="B67" s="360"/>
    </row>
    <row r="68" spans="1:7" x14ac:dyDescent="0.25">
      <c r="A68" s="45" t="s">
        <v>188</v>
      </c>
      <c r="B68" s="325" t="s">
        <v>189</v>
      </c>
      <c r="C68" s="325">
        <v>4</v>
      </c>
      <c r="D68" s="325" t="s">
        <v>190</v>
      </c>
      <c r="E68" s="52">
        <v>1</v>
      </c>
      <c r="F68" s="325" t="s">
        <v>191</v>
      </c>
      <c r="G68" s="52">
        <v>1</v>
      </c>
    </row>
    <row r="69" spans="1:7" x14ac:dyDescent="0.25">
      <c r="A69" s="45" t="s">
        <v>192</v>
      </c>
      <c r="B69" s="53">
        <v>0.04</v>
      </c>
    </row>
    <row r="70" spans="1:7" x14ac:dyDescent="0.25">
      <c r="A70" s="45" t="s">
        <v>301</v>
      </c>
    </row>
    <row r="71" spans="1:7" x14ac:dyDescent="0.3">
      <c r="A71" s="262" t="s">
        <v>193</v>
      </c>
      <c r="B71" s="259" t="s">
        <v>111</v>
      </c>
      <c r="C71" s="54" t="s">
        <v>112</v>
      </c>
      <c r="D71" s="54" t="s">
        <v>113</v>
      </c>
      <c r="E71" s="55" t="s">
        <v>114</v>
      </c>
    </row>
    <row r="72" spans="1:7" x14ac:dyDescent="0.3">
      <c r="A72" s="263" t="s">
        <v>115</v>
      </c>
      <c r="B72" s="260">
        <v>2.75E-2</v>
      </c>
      <c r="C72" s="257">
        <v>3.5000000000000003E-2</v>
      </c>
      <c r="D72" s="257">
        <v>0.04</v>
      </c>
      <c r="E72" s="258">
        <v>0.04</v>
      </c>
    </row>
    <row r="73" spans="1:7" x14ac:dyDescent="0.3">
      <c r="A73" s="264" t="s">
        <v>116</v>
      </c>
      <c r="B73" s="261">
        <v>2.5000000000000001E-2</v>
      </c>
      <c r="C73" s="255">
        <v>3.2500000000000001E-2</v>
      </c>
      <c r="D73" s="255">
        <v>3.7499999999999999E-2</v>
      </c>
      <c r="E73" s="256">
        <v>3.7499999999999999E-2</v>
      </c>
    </row>
    <row r="74" spans="1:7" x14ac:dyDescent="0.3">
      <c r="A74" s="46" t="s">
        <v>194</v>
      </c>
      <c r="B74" s="66">
        <v>1</v>
      </c>
      <c r="C74" s="66"/>
      <c r="D74" s="66"/>
      <c r="E74" s="66"/>
    </row>
    <row r="75" spans="1:7" x14ac:dyDescent="0.3">
      <c r="A75" s="72" t="s">
        <v>195</v>
      </c>
      <c r="B75" s="75" t="s">
        <v>196</v>
      </c>
      <c r="C75" s="67" t="s">
        <v>197</v>
      </c>
      <c r="D75" s="67" t="s">
        <v>198</v>
      </c>
      <c r="E75" s="68" t="s">
        <v>199</v>
      </c>
    </row>
    <row r="76" spans="1:7" ht="18" x14ac:dyDescent="0.3">
      <c r="B76" s="71">
        <v>1</v>
      </c>
      <c r="C76" s="69">
        <v>0.52</v>
      </c>
      <c r="D76" s="69">
        <v>0.26200000000000001</v>
      </c>
      <c r="E76" s="70">
        <v>8.7999999999999995E-2</v>
      </c>
      <c r="F76" s="346" t="s">
        <v>200</v>
      </c>
      <c r="G76" s="347"/>
    </row>
    <row r="77" spans="1:7" x14ac:dyDescent="0.25">
      <c r="A77" s="46" t="s">
        <v>201</v>
      </c>
      <c r="B77" s="53">
        <v>1.0699999999999999E-2</v>
      </c>
    </row>
    <row r="78" spans="1:7" s="53" customFormat="1" x14ac:dyDescent="0.25">
      <c r="A78" s="80" t="s">
        <v>202</v>
      </c>
      <c r="B78" s="53">
        <v>0</v>
      </c>
      <c r="C78" s="53">
        <v>0.01</v>
      </c>
    </row>
    <row r="79" spans="1:7" x14ac:dyDescent="0.25">
      <c r="A79" s="46" t="s">
        <v>203</v>
      </c>
      <c r="B79" s="325">
        <v>2</v>
      </c>
    </row>
    <row r="80" spans="1:7" x14ac:dyDescent="0.25">
      <c r="A80" s="84" t="s">
        <v>204</v>
      </c>
      <c r="B80" s="85"/>
      <c r="C80" s="85"/>
      <c r="D80" s="86" t="s">
        <v>205</v>
      </c>
      <c r="E80" s="85"/>
    </row>
    <row r="81" spans="1:11" x14ac:dyDescent="0.25">
      <c r="A81" s="46" t="s">
        <v>206</v>
      </c>
      <c r="B81" s="325">
        <v>2</v>
      </c>
    </row>
    <row r="82" spans="1:11" x14ac:dyDescent="0.25">
      <c r="A82" s="46" t="s">
        <v>207</v>
      </c>
      <c r="B82" s="325">
        <v>1</v>
      </c>
    </row>
    <row r="83" spans="1:11" x14ac:dyDescent="0.25">
      <c r="A83" s="46" t="s">
        <v>208</v>
      </c>
    </row>
    <row r="84" spans="1:11" x14ac:dyDescent="0.25">
      <c r="A84" s="325" t="s">
        <v>209</v>
      </c>
      <c r="B84" s="325">
        <v>3</v>
      </c>
      <c r="C84" s="325" t="s">
        <v>210</v>
      </c>
      <c r="D84" s="325">
        <v>3</v>
      </c>
    </row>
    <row r="85" spans="1:11" x14ac:dyDescent="0.25">
      <c r="A85" s="45" t="s">
        <v>211</v>
      </c>
      <c r="B85" s="325">
        <v>1</v>
      </c>
      <c r="C85" s="316"/>
    </row>
    <row r="86" spans="1:11" x14ac:dyDescent="0.25">
      <c r="A86" s="58" t="s">
        <v>212</v>
      </c>
      <c r="B86" s="325" t="s">
        <v>275</v>
      </c>
      <c r="C86" s="53">
        <v>0.75</v>
      </c>
      <c r="D86" s="325" t="s">
        <v>276</v>
      </c>
      <c r="E86" s="325">
        <v>15</v>
      </c>
      <c r="F86" s="325" t="s">
        <v>277</v>
      </c>
      <c r="G86" s="53">
        <v>0</v>
      </c>
      <c r="H86" s="59" t="str">
        <f xml:space="preserve"> "計算公式範例： CV = VL" &amp; IF(G86=0,"", " * [ 1 - " &amp; G86 &amp;" * (M - T)]" )&amp; " * [ " &amp; C86 &amp; " + " &amp; (1-C86) &amp; " * T/" &amp; IF(E86=0,"N","min(" &amp; E86  &amp;",N)") &amp; "],  N = 繳費期間" &amp; IF(G86=0,"",",  M = 保險期間")</f>
        <v>計算公式範例： CV = VL * [ 0.75 + 0.25 * T/min(15,N)],  N = 繳費期間</v>
      </c>
    </row>
    <row r="87" spans="1:11" x14ac:dyDescent="0.25">
      <c r="A87" s="58" t="s">
        <v>213</v>
      </c>
      <c r="B87" s="325" t="s">
        <v>214</v>
      </c>
      <c r="C87" s="127"/>
      <c r="D87" s="325" t="s">
        <v>215</v>
      </c>
      <c r="E87" s="127"/>
      <c r="F87" s="325" t="s">
        <v>216</v>
      </c>
      <c r="G87" s="127"/>
      <c r="H87" s="59" t="str">
        <f xml:space="preserve"> "躉繳型適用"</f>
        <v>躉繳型適用</v>
      </c>
    </row>
    <row r="88" spans="1:11" x14ac:dyDescent="0.25">
      <c r="A88" s="58" t="s">
        <v>217</v>
      </c>
      <c r="B88" s="325" t="s">
        <v>218</v>
      </c>
      <c r="C88" s="53"/>
      <c r="D88" s="53"/>
      <c r="E88" s="53"/>
      <c r="F88" s="53"/>
      <c r="G88" s="53"/>
      <c r="H88" s="53"/>
      <c r="I88" s="53"/>
      <c r="J88" s="53"/>
    </row>
    <row r="89" spans="1:11" x14ac:dyDescent="0.25">
      <c r="A89" s="58" t="s">
        <v>219</v>
      </c>
    </row>
    <row r="90" spans="1:11" x14ac:dyDescent="0.25">
      <c r="A90" s="58" t="s">
        <v>220</v>
      </c>
    </row>
    <row r="91" spans="1:11" x14ac:dyDescent="0.25">
      <c r="A91" s="45" t="s">
        <v>221</v>
      </c>
      <c r="B91" s="325" t="s">
        <v>222</v>
      </c>
      <c r="C91" s="52">
        <v>0.01</v>
      </c>
      <c r="H91" s="87"/>
      <c r="I91" s="87"/>
      <c r="J91" s="87"/>
    </row>
    <row r="92" spans="1:11" x14ac:dyDescent="0.25">
      <c r="A92" s="60" t="s">
        <v>223</v>
      </c>
      <c r="B92" s="325" t="s">
        <v>224</v>
      </c>
      <c r="C92" s="325">
        <v>2</v>
      </c>
      <c r="D92" s="325">
        <v>1</v>
      </c>
      <c r="E92" s="325" t="b">
        <v>0</v>
      </c>
      <c r="F92" s="325" t="s">
        <v>225</v>
      </c>
      <c r="G92" s="325">
        <v>1</v>
      </c>
      <c r="H92" s="192" t="s">
        <v>226</v>
      </c>
      <c r="I92" s="87">
        <v>2</v>
      </c>
      <c r="J92" s="241" t="s">
        <v>227</v>
      </c>
      <c r="K92" s="87"/>
    </row>
    <row r="93" spans="1:11" x14ac:dyDescent="0.25">
      <c r="A93" s="242" t="s">
        <v>228</v>
      </c>
      <c r="B93" s="87" t="s">
        <v>229</v>
      </c>
      <c r="C93" s="87">
        <v>1</v>
      </c>
      <c r="D93" s="87"/>
      <c r="E93" s="87" t="s">
        <v>230</v>
      </c>
      <c r="F93" s="243">
        <v>0</v>
      </c>
    </row>
    <row r="94" spans="1:11" x14ac:dyDescent="0.25">
      <c r="A94" s="72" t="s">
        <v>231</v>
      </c>
      <c r="B94" s="106">
        <v>3000</v>
      </c>
      <c r="C94" s="103" t="s">
        <v>232</v>
      </c>
      <c r="D94" s="105">
        <v>15</v>
      </c>
      <c r="E94" s="106">
        <v>500</v>
      </c>
      <c r="F94" s="103" t="s">
        <v>233</v>
      </c>
      <c r="G94" s="107">
        <v>65</v>
      </c>
      <c r="H94" s="106">
        <v>600</v>
      </c>
      <c r="I94" s="104" t="s">
        <v>234</v>
      </c>
    </row>
    <row r="95" spans="1:11" s="53" customFormat="1" x14ac:dyDescent="0.25">
      <c r="A95" s="45" t="s">
        <v>235</v>
      </c>
      <c r="B95" s="325">
        <v>1</v>
      </c>
      <c r="C95" s="325" t="s">
        <v>236</v>
      </c>
    </row>
    <row r="96" spans="1:11" s="53" customFormat="1" x14ac:dyDescent="0.25">
      <c r="A96" s="45" t="s">
        <v>237</v>
      </c>
      <c r="B96" s="325">
        <v>2</v>
      </c>
      <c r="C96" s="325" t="s">
        <v>238</v>
      </c>
    </row>
    <row r="98" spans="1:17" s="317" customFormat="1" ht="18.75" thickBot="1" x14ac:dyDescent="0.3">
      <c r="A98" s="359" t="s">
        <v>239</v>
      </c>
      <c r="B98" s="359"/>
      <c r="D98" s="140" t="s">
        <v>302</v>
      </c>
      <c r="E98" s="135"/>
      <c r="F98" s="135"/>
      <c r="G98" s="135"/>
      <c r="H98" s="135"/>
      <c r="I98" s="135"/>
    </row>
    <row r="99" spans="1:17" s="34" customFormat="1" x14ac:dyDescent="0.25">
      <c r="A99" s="81" t="s">
        <v>240</v>
      </c>
      <c r="D99" s="183" t="s">
        <v>303</v>
      </c>
      <c r="E99" s="184" t="s">
        <v>304</v>
      </c>
      <c r="F99" s="138" t="s">
        <v>305</v>
      </c>
      <c r="G99" s="138" t="s">
        <v>306</v>
      </c>
      <c r="H99" s="138" t="s">
        <v>307</v>
      </c>
      <c r="I99" s="138" t="s">
        <v>299</v>
      </c>
      <c r="J99" s="185" t="s">
        <v>308</v>
      </c>
    </row>
    <row r="100" spans="1:17" s="34" customFormat="1" ht="15.75" thickBot="1" x14ac:dyDescent="0.3">
      <c r="A100" s="34" t="s">
        <v>241</v>
      </c>
      <c r="B100" s="74">
        <v>2.5999999999999999E-2</v>
      </c>
      <c r="D100" s="186" t="s">
        <v>309</v>
      </c>
      <c r="E100" s="139">
        <v>6</v>
      </c>
      <c r="F100" s="136">
        <v>4</v>
      </c>
      <c r="G100" s="136">
        <v>6</v>
      </c>
      <c r="H100" s="136">
        <v>2</v>
      </c>
      <c r="I100" s="136">
        <v>8</v>
      </c>
      <c r="J100" s="137">
        <v>1</v>
      </c>
    </row>
    <row r="101" spans="1:17" s="34" customFormat="1" x14ac:dyDescent="0.25">
      <c r="A101" s="34" t="s">
        <v>282</v>
      </c>
      <c r="B101" s="74">
        <v>2.5999999999999999E-2</v>
      </c>
    </row>
    <row r="102" spans="1:17" s="34" customFormat="1" x14ac:dyDescent="0.25">
      <c r="A102" s="34" t="s">
        <v>283</v>
      </c>
      <c r="B102" s="74">
        <v>2.5999999999999999E-2</v>
      </c>
    </row>
    <row r="103" spans="1:17" s="34" customFormat="1" x14ac:dyDescent="0.25">
      <c r="A103" s="34" t="s">
        <v>242</v>
      </c>
      <c r="B103" s="130">
        <v>0.65800000000000003</v>
      </c>
      <c r="C103" s="131">
        <v>0.63</v>
      </c>
    </row>
    <row r="104" spans="1:17" s="134" customFormat="1" ht="15.75" thickBot="1" x14ac:dyDescent="0.3">
      <c r="A104" s="134" t="s">
        <v>243</v>
      </c>
    </row>
    <row r="105" spans="1:17" s="34" customFormat="1" x14ac:dyDescent="0.25">
      <c r="A105" s="78" t="s">
        <v>310</v>
      </c>
      <c r="B105" s="190">
        <v>1</v>
      </c>
      <c r="C105" s="187">
        <v>2</v>
      </c>
      <c r="D105" s="187">
        <v>3</v>
      </c>
      <c r="E105" s="187">
        <v>4</v>
      </c>
      <c r="F105" s="187">
        <v>5</v>
      </c>
      <c r="G105" s="189">
        <v>6</v>
      </c>
      <c r="H105" s="165"/>
    </row>
    <row r="106" spans="1:17" s="74" customFormat="1" ht="15.75" thickBot="1" x14ac:dyDescent="0.3">
      <c r="A106" s="79">
        <v>2</v>
      </c>
      <c r="B106" s="191">
        <v>0.1</v>
      </c>
      <c r="C106" s="188">
        <v>0.08</v>
      </c>
      <c r="D106" s="188">
        <v>0.04</v>
      </c>
      <c r="E106" s="188">
        <v>0.03</v>
      </c>
      <c r="F106" s="188">
        <v>0.02</v>
      </c>
      <c r="G106" s="182">
        <v>1.4999999999999999E-2</v>
      </c>
      <c r="H106" s="166"/>
    </row>
    <row r="107" spans="1:17" s="34" customFormat="1" x14ac:dyDescent="0.25"/>
    <row r="108" spans="1:17" x14ac:dyDescent="0.25">
      <c r="A108" s="72" t="s">
        <v>297</v>
      </c>
      <c r="E108" s="72" t="s">
        <v>298</v>
      </c>
    </row>
    <row r="109" spans="1:17" ht="15.75" thickBot="1" x14ac:dyDescent="0.3">
      <c r="A109" s="72" t="s">
        <v>289</v>
      </c>
      <c r="B109" s="45" t="s">
        <v>290</v>
      </c>
      <c r="E109" s="72" t="s">
        <v>291</v>
      </c>
      <c r="F109" s="161">
        <v>0</v>
      </c>
      <c r="G109" s="325" t="s">
        <v>292</v>
      </c>
      <c r="H109" s="161">
        <v>39</v>
      </c>
      <c r="I109" s="161"/>
      <c r="J109" s="72" t="s">
        <v>311</v>
      </c>
      <c r="K109" s="161">
        <v>40</v>
      </c>
      <c r="L109" s="325" t="s">
        <v>292</v>
      </c>
      <c r="M109" s="161">
        <v>80</v>
      </c>
    </row>
    <row r="110" spans="1:17" s="194" customFormat="1" ht="15.75" thickBot="1" x14ac:dyDescent="0.3">
      <c r="A110" s="142" t="s">
        <v>293</v>
      </c>
      <c r="B110" s="143" t="s">
        <v>117</v>
      </c>
      <c r="C110" s="315" t="s">
        <v>287</v>
      </c>
      <c r="E110" s="199" t="s">
        <v>288</v>
      </c>
      <c r="F110" s="302">
        <v>2</v>
      </c>
      <c r="G110" s="315">
        <v>5</v>
      </c>
      <c r="J110" s="199" t="s">
        <v>288</v>
      </c>
      <c r="K110" s="302">
        <v>2</v>
      </c>
      <c r="L110" s="315">
        <v>5</v>
      </c>
    </row>
    <row r="111" spans="1:17" s="194" customFormat="1" ht="15.75" thickTop="1" x14ac:dyDescent="0.25">
      <c r="A111" s="144" t="s">
        <v>118</v>
      </c>
      <c r="B111" s="145">
        <v>3471</v>
      </c>
      <c r="C111" s="152">
        <f>1.552%+0.25%</f>
        <v>1.8020000000000001E-2</v>
      </c>
      <c r="E111" s="197">
        <v>1</v>
      </c>
      <c r="F111" s="303">
        <v>3.5000000000000003E-2</v>
      </c>
      <c r="G111" s="200">
        <v>0.26</v>
      </c>
      <c r="H111" s="283"/>
      <c r="I111" s="283"/>
      <c r="J111" s="197">
        <v>1</v>
      </c>
      <c r="K111" s="303">
        <v>3.5000000000000003E-2</v>
      </c>
      <c r="L111" s="200">
        <v>0.26</v>
      </c>
      <c r="M111" s="283"/>
      <c r="N111" s="283"/>
      <c r="O111" s="283"/>
      <c r="P111" s="283"/>
      <c r="Q111" s="283"/>
    </row>
    <row r="112" spans="1:17" s="194" customFormat="1" x14ac:dyDescent="0.25">
      <c r="A112" s="146" t="s">
        <v>119</v>
      </c>
      <c r="B112" s="147">
        <v>376</v>
      </c>
      <c r="C112" s="162">
        <f>0.066%+0.25%</f>
        <v>3.16E-3</v>
      </c>
      <c r="E112" s="197">
        <v>2</v>
      </c>
      <c r="F112" s="303">
        <v>0.02</v>
      </c>
      <c r="G112" s="200">
        <v>0.1</v>
      </c>
      <c r="H112" s="283"/>
      <c r="I112" s="283"/>
      <c r="J112" s="197">
        <v>2</v>
      </c>
      <c r="K112" s="303">
        <v>0.02</v>
      </c>
      <c r="L112" s="200">
        <v>0.1</v>
      </c>
      <c r="M112" s="283"/>
      <c r="N112" s="283"/>
      <c r="O112" s="283"/>
      <c r="P112" s="283"/>
      <c r="Q112" s="283"/>
    </row>
    <row r="113" spans="1:17" s="194" customFormat="1" ht="15.75" thickBot="1" x14ac:dyDescent="0.3">
      <c r="A113" s="149" t="s">
        <v>120</v>
      </c>
      <c r="B113" s="150">
        <v>0</v>
      </c>
      <c r="C113" s="163">
        <f>0.924%</f>
        <v>9.2399999999999999E-3</v>
      </c>
      <c r="E113" s="197">
        <v>3</v>
      </c>
      <c r="F113" s="303">
        <v>0.02</v>
      </c>
      <c r="G113" s="200">
        <v>0.05</v>
      </c>
      <c r="H113" s="283"/>
      <c r="I113" s="283"/>
      <c r="J113" s="197">
        <v>3</v>
      </c>
      <c r="K113" s="303">
        <v>0.02</v>
      </c>
      <c r="L113" s="200">
        <v>0.05</v>
      </c>
      <c r="M113" s="283"/>
      <c r="N113" s="283"/>
      <c r="O113" s="283"/>
      <c r="P113" s="283"/>
      <c r="Q113" s="283"/>
    </row>
    <row r="114" spans="1:17" s="194" customFormat="1" x14ac:dyDescent="0.25">
      <c r="A114" s="355" t="s">
        <v>244</v>
      </c>
      <c r="B114" s="151" t="s">
        <v>312</v>
      </c>
      <c r="C114" s="164">
        <v>2.7720000000000002E-3</v>
      </c>
      <c r="E114" s="197">
        <v>4</v>
      </c>
      <c r="F114" s="303">
        <v>0</v>
      </c>
      <c r="G114" s="200">
        <v>0.05</v>
      </c>
      <c r="H114" s="283"/>
      <c r="I114" s="283"/>
      <c r="J114" s="197">
        <v>4</v>
      </c>
      <c r="K114" s="303">
        <v>0</v>
      </c>
      <c r="L114" s="200">
        <v>0.05</v>
      </c>
      <c r="M114" s="283"/>
      <c r="N114" s="283"/>
      <c r="O114" s="283"/>
      <c r="P114" s="283"/>
      <c r="Q114" s="283"/>
    </row>
    <row r="115" spans="1:17" s="194" customFormat="1" x14ac:dyDescent="0.25">
      <c r="A115" s="355"/>
      <c r="B115" s="153" t="s">
        <v>313</v>
      </c>
      <c r="C115" s="148">
        <v>0.2</v>
      </c>
      <c r="E115" s="35">
        <v>5</v>
      </c>
      <c r="F115" s="304">
        <v>0</v>
      </c>
      <c r="G115" s="201">
        <v>0.05</v>
      </c>
      <c r="H115" s="283"/>
      <c r="I115" s="283"/>
      <c r="J115" s="35">
        <v>5</v>
      </c>
      <c r="K115" s="304">
        <v>0</v>
      </c>
      <c r="L115" s="201">
        <v>0.05</v>
      </c>
      <c r="M115" s="283"/>
      <c r="N115" s="283"/>
      <c r="O115" s="283"/>
      <c r="P115" s="283"/>
      <c r="Q115" s="283"/>
    </row>
    <row r="116" spans="1:17" s="194" customFormat="1" ht="15.75" thickBot="1" x14ac:dyDescent="0.3">
      <c r="A116" s="356"/>
      <c r="B116" s="154" t="s">
        <v>314</v>
      </c>
      <c r="C116" s="155">
        <v>0.93</v>
      </c>
      <c r="E116" s="198">
        <v>6</v>
      </c>
      <c r="F116" s="305">
        <v>0</v>
      </c>
      <c r="G116" s="182">
        <v>0.05</v>
      </c>
      <c r="H116" s="283"/>
      <c r="I116" s="283"/>
      <c r="J116" s="198">
        <v>6</v>
      </c>
      <c r="K116" s="305">
        <v>0</v>
      </c>
      <c r="L116" s="182">
        <v>0.05</v>
      </c>
      <c r="M116" s="283"/>
      <c r="N116" s="283"/>
      <c r="O116" s="283"/>
      <c r="P116" s="283"/>
      <c r="Q116" s="283"/>
    </row>
    <row r="117" spans="1:17" s="194" customFormat="1" ht="15.75" thickBot="1" x14ac:dyDescent="0.3">
      <c r="A117" s="156" t="s">
        <v>245</v>
      </c>
      <c r="B117" s="157">
        <v>0.02</v>
      </c>
      <c r="C117" s="158"/>
    </row>
    <row r="118" spans="1:17" s="194" customFormat="1" ht="15.75" thickBot="1" x14ac:dyDescent="0.3">
      <c r="A118" s="141" t="s">
        <v>294</v>
      </c>
      <c r="B118" s="159">
        <v>1.1000000000000001</v>
      </c>
      <c r="C118" s="160"/>
    </row>
    <row r="119" spans="1:17" s="194" customFormat="1" x14ac:dyDescent="0.25"/>
    <row r="120" spans="1:17" s="194" customFormat="1" ht="15.75" thickBot="1" x14ac:dyDescent="0.3">
      <c r="A120" s="195" t="s">
        <v>295</v>
      </c>
      <c r="B120" s="196" t="s">
        <v>296</v>
      </c>
      <c r="E120" s="72" t="s">
        <v>325</v>
      </c>
      <c r="F120" s="161">
        <v>0</v>
      </c>
      <c r="G120" s="325" t="s">
        <v>292</v>
      </c>
      <c r="H120" s="161">
        <v>39</v>
      </c>
      <c r="I120" s="161"/>
      <c r="J120" s="72" t="s">
        <v>326</v>
      </c>
      <c r="K120" s="161">
        <v>40</v>
      </c>
      <c r="L120" s="325" t="s">
        <v>292</v>
      </c>
      <c r="M120" s="161">
        <v>80</v>
      </c>
      <c r="N120" s="325"/>
      <c r="O120" s="325"/>
      <c r="P120" s="325"/>
      <c r="Q120" s="325"/>
    </row>
    <row r="121" spans="1:17" s="194" customFormat="1" ht="15.75" thickBot="1" x14ac:dyDescent="0.3">
      <c r="A121" s="142" t="s">
        <v>293</v>
      </c>
      <c r="B121" s="143" t="s">
        <v>117</v>
      </c>
      <c r="C121" s="315" t="s">
        <v>287</v>
      </c>
      <c r="E121" s="199" t="s">
        <v>288</v>
      </c>
      <c r="F121" s="302">
        <v>2</v>
      </c>
      <c r="G121" s="315">
        <v>5</v>
      </c>
      <c r="J121" s="199" t="s">
        <v>288</v>
      </c>
      <c r="K121" s="302">
        <v>2</v>
      </c>
      <c r="L121" s="315">
        <v>5</v>
      </c>
    </row>
    <row r="122" spans="1:17" s="194" customFormat="1" ht="15.75" thickTop="1" x14ac:dyDescent="0.25">
      <c r="A122" s="144" t="s">
        <v>118</v>
      </c>
      <c r="B122" s="145">
        <v>426</v>
      </c>
      <c r="C122" s="152">
        <f>0.931%+0.25%</f>
        <v>1.1810000000000001E-2</v>
      </c>
      <c r="E122" s="197">
        <v>1</v>
      </c>
      <c r="F122" s="303">
        <v>3.5000000000000003E-2</v>
      </c>
      <c r="G122" s="200">
        <v>0.26</v>
      </c>
      <c r="H122" s="283"/>
      <c r="I122" s="283"/>
      <c r="J122" s="197">
        <v>1</v>
      </c>
      <c r="K122" s="303">
        <v>3.5000000000000003E-2</v>
      </c>
      <c r="L122" s="200">
        <v>0.26</v>
      </c>
      <c r="M122" s="283"/>
      <c r="N122" s="283"/>
      <c r="O122" s="283"/>
      <c r="P122" s="283"/>
      <c r="Q122" s="283"/>
    </row>
    <row r="123" spans="1:17" s="194" customFormat="1" x14ac:dyDescent="0.25">
      <c r="A123" s="146" t="s">
        <v>119</v>
      </c>
      <c r="B123" s="147">
        <v>376</v>
      </c>
      <c r="C123" s="162">
        <f>0.066%+0.25%</f>
        <v>3.16E-3</v>
      </c>
      <c r="E123" s="197">
        <v>2</v>
      </c>
      <c r="F123" s="303">
        <v>0.02</v>
      </c>
      <c r="G123" s="200">
        <v>0.1</v>
      </c>
      <c r="H123" s="283"/>
      <c r="I123" s="283"/>
      <c r="J123" s="197">
        <v>2</v>
      </c>
      <c r="K123" s="303">
        <v>0.02</v>
      </c>
      <c r="L123" s="200">
        <v>0.1</v>
      </c>
      <c r="M123" s="283"/>
      <c r="N123" s="283"/>
      <c r="O123" s="283"/>
      <c r="P123" s="283"/>
      <c r="Q123" s="283"/>
    </row>
    <row r="124" spans="1:17" s="194" customFormat="1" ht="15.75" thickBot="1" x14ac:dyDescent="0.3">
      <c r="A124" s="149" t="s">
        <v>120</v>
      </c>
      <c r="B124" s="150">
        <v>0</v>
      </c>
      <c r="C124" s="163">
        <f>0.924%</f>
        <v>9.2399999999999999E-3</v>
      </c>
      <c r="E124" s="197">
        <v>3</v>
      </c>
      <c r="F124" s="303">
        <v>0.02</v>
      </c>
      <c r="G124" s="200">
        <v>0.05</v>
      </c>
      <c r="H124" s="283"/>
      <c r="I124" s="283"/>
      <c r="J124" s="197">
        <v>3</v>
      </c>
      <c r="K124" s="303">
        <v>0.02</v>
      </c>
      <c r="L124" s="200">
        <v>0.05</v>
      </c>
      <c r="M124" s="283"/>
      <c r="N124" s="283"/>
      <c r="O124" s="283"/>
      <c r="P124" s="283"/>
      <c r="Q124" s="283"/>
    </row>
    <row r="125" spans="1:17" s="194" customFormat="1" x14ac:dyDescent="0.25">
      <c r="A125" s="355" t="s">
        <v>244</v>
      </c>
      <c r="B125" s="151" t="s">
        <v>312</v>
      </c>
      <c r="C125" s="164">
        <v>2.7720000000000002E-3</v>
      </c>
      <c r="E125" s="197">
        <v>4</v>
      </c>
      <c r="F125" s="303">
        <v>0</v>
      </c>
      <c r="G125" s="200">
        <v>0.05</v>
      </c>
      <c r="H125" s="283"/>
      <c r="I125" s="283"/>
      <c r="J125" s="197">
        <v>4</v>
      </c>
      <c r="K125" s="303">
        <v>0</v>
      </c>
      <c r="L125" s="200">
        <v>0.05</v>
      </c>
      <c r="M125" s="283"/>
      <c r="N125" s="283"/>
      <c r="O125" s="283"/>
      <c r="P125" s="283"/>
      <c r="Q125" s="283"/>
    </row>
    <row r="126" spans="1:17" s="194" customFormat="1" x14ac:dyDescent="0.25">
      <c r="A126" s="355"/>
      <c r="B126" s="153" t="s">
        <v>313</v>
      </c>
      <c r="C126" s="148">
        <v>0.2</v>
      </c>
      <c r="E126" s="35">
        <v>5</v>
      </c>
      <c r="F126" s="304">
        <v>0</v>
      </c>
      <c r="G126" s="201">
        <v>0.05</v>
      </c>
      <c r="H126" s="283"/>
      <c r="I126" s="283"/>
      <c r="J126" s="35">
        <v>5</v>
      </c>
      <c r="K126" s="304">
        <v>0</v>
      </c>
      <c r="L126" s="201">
        <v>0.05</v>
      </c>
      <c r="M126" s="283"/>
      <c r="N126" s="283"/>
      <c r="O126" s="283"/>
      <c r="P126" s="283"/>
      <c r="Q126" s="283"/>
    </row>
    <row r="127" spans="1:17" s="194" customFormat="1" ht="15.75" thickBot="1" x14ac:dyDescent="0.3">
      <c r="A127" s="356"/>
      <c r="B127" s="154" t="s">
        <v>314</v>
      </c>
      <c r="C127" s="155">
        <v>0.93</v>
      </c>
      <c r="E127" s="198">
        <v>6</v>
      </c>
      <c r="F127" s="305">
        <v>0</v>
      </c>
      <c r="G127" s="182">
        <v>0.05</v>
      </c>
      <c r="H127" s="283"/>
      <c r="I127" s="283"/>
      <c r="J127" s="198">
        <v>6</v>
      </c>
      <c r="K127" s="305">
        <v>0</v>
      </c>
      <c r="L127" s="182">
        <v>0.05</v>
      </c>
      <c r="M127" s="283"/>
      <c r="N127" s="283"/>
      <c r="O127" s="283"/>
      <c r="P127" s="283"/>
      <c r="Q127" s="283"/>
    </row>
    <row r="128" spans="1:17" s="194" customFormat="1" ht="15.75" thickBot="1" x14ac:dyDescent="0.3">
      <c r="A128" s="156" t="s">
        <v>245</v>
      </c>
      <c r="B128" s="157">
        <v>0.02</v>
      </c>
      <c r="C128" s="158"/>
    </row>
    <row r="129" spans="1:17" s="194" customFormat="1" ht="15.75" thickBot="1" x14ac:dyDescent="0.3">
      <c r="A129" s="141" t="s">
        <v>294</v>
      </c>
      <c r="B129" s="159">
        <v>7.0000000000000007E-2</v>
      </c>
      <c r="C129" s="160"/>
    </row>
    <row r="130" spans="1:17" s="194" customFormat="1" x14ac:dyDescent="0.25">
      <c r="B130" s="193"/>
      <c r="C130" s="193"/>
    </row>
    <row r="131" spans="1:17" s="194" customFormat="1" ht="15.75" thickBot="1" x14ac:dyDescent="0.3">
      <c r="A131" s="72" t="s">
        <v>318</v>
      </c>
      <c r="B131" s="45" t="s">
        <v>320</v>
      </c>
      <c r="C131" s="325"/>
      <c r="D131" s="325"/>
      <c r="E131" s="72" t="s">
        <v>291</v>
      </c>
      <c r="F131" s="161">
        <v>0</v>
      </c>
      <c r="G131" s="325" t="s">
        <v>292</v>
      </c>
      <c r="H131" s="161">
        <v>39</v>
      </c>
      <c r="I131" s="161"/>
      <c r="J131" s="72" t="s">
        <v>311</v>
      </c>
      <c r="K131" s="161">
        <v>40</v>
      </c>
      <c r="L131" s="325" t="s">
        <v>292</v>
      </c>
      <c r="M131" s="161">
        <v>80</v>
      </c>
      <c r="N131" s="325"/>
      <c r="O131" s="325"/>
      <c r="P131" s="325"/>
      <c r="Q131" s="325"/>
    </row>
    <row r="132" spans="1:17" s="194" customFormat="1" ht="15.75" thickBot="1" x14ac:dyDescent="0.3">
      <c r="A132" s="142" t="s">
        <v>293</v>
      </c>
      <c r="B132" s="143" t="s">
        <v>117</v>
      </c>
      <c r="C132" s="315" t="s">
        <v>287</v>
      </c>
      <c r="E132" s="199" t="s">
        <v>288</v>
      </c>
      <c r="F132" s="302">
        <v>2</v>
      </c>
      <c r="G132" s="315">
        <v>5</v>
      </c>
      <c r="J132" s="199" t="s">
        <v>288</v>
      </c>
      <c r="K132" s="302">
        <v>2</v>
      </c>
      <c r="L132" s="315">
        <v>5</v>
      </c>
    </row>
    <row r="133" spans="1:17" s="194" customFormat="1" ht="15.75" thickTop="1" x14ac:dyDescent="0.25">
      <c r="A133" s="144" t="s">
        <v>118</v>
      </c>
      <c r="B133" s="145">
        <v>3155</v>
      </c>
      <c r="C133" s="152">
        <v>1.66E-2</v>
      </c>
      <c r="E133" s="197">
        <v>1</v>
      </c>
      <c r="F133" s="303">
        <v>3.5000000000000003E-2</v>
      </c>
      <c r="G133" s="200">
        <v>0.26</v>
      </c>
      <c r="H133" s="283"/>
      <c r="I133" s="283"/>
      <c r="J133" s="197">
        <v>1</v>
      </c>
      <c r="K133" s="303">
        <v>3.5000000000000003E-2</v>
      </c>
      <c r="L133" s="200">
        <v>0.26</v>
      </c>
      <c r="M133" s="283"/>
      <c r="N133" s="283"/>
      <c r="O133" s="283"/>
      <c r="P133" s="283"/>
      <c r="Q133" s="283"/>
    </row>
    <row r="134" spans="1:17" s="194" customFormat="1" x14ac:dyDescent="0.25">
      <c r="A134" s="146" t="s">
        <v>119</v>
      </c>
      <c r="B134" s="147">
        <v>342</v>
      </c>
      <c r="C134" s="162">
        <v>3.0999999999999999E-3</v>
      </c>
      <c r="E134" s="197">
        <v>2</v>
      </c>
      <c r="F134" s="303">
        <v>0.02</v>
      </c>
      <c r="G134" s="200">
        <v>0.1</v>
      </c>
      <c r="H134" s="283"/>
      <c r="I134" s="283"/>
      <c r="J134" s="197">
        <v>2</v>
      </c>
      <c r="K134" s="303">
        <v>0.02</v>
      </c>
      <c r="L134" s="200">
        <v>0.1</v>
      </c>
      <c r="M134" s="283"/>
      <c r="N134" s="283"/>
      <c r="O134" s="283"/>
      <c r="P134" s="283"/>
      <c r="Q134" s="283"/>
    </row>
    <row r="135" spans="1:17" s="194" customFormat="1" ht="15.75" thickBot="1" x14ac:dyDescent="0.3">
      <c r="A135" s="149" t="s">
        <v>120</v>
      </c>
      <c r="B135" s="150">
        <v>0</v>
      </c>
      <c r="C135" s="163">
        <v>8.3999999999999995E-3</v>
      </c>
      <c r="E135" s="197">
        <v>3</v>
      </c>
      <c r="F135" s="303">
        <v>0.02</v>
      </c>
      <c r="G135" s="200">
        <v>0.05</v>
      </c>
      <c r="H135" s="283"/>
      <c r="I135" s="283"/>
      <c r="J135" s="197">
        <v>3</v>
      </c>
      <c r="K135" s="303">
        <v>0.02</v>
      </c>
      <c r="L135" s="200">
        <v>0.05</v>
      </c>
      <c r="M135" s="283"/>
      <c r="N135" s="283"/>
      <c r="O135" s="283"/>
      <c r="P135" s="283"/>
      <c r="Q135" s="283"/>
    </row>
    <row r="136" spans="1:17" s="194" customFormat="1" x14ac:dyDescent="0.25">
      <c r="A136" s="355" t="s">
        <v>244</v>
      </c>
      <c r="B136" s="151" t="s">
        <v>312</v>
      </c>
      <c r="C136" s="164">
        <v>2.5200000000000001E-3</v>
      </c>
      <c r="E136" s="197">
        <v>4</v>
      </c>
      <c r="F136" s="303">
        <v>0</v>
      </c>
      <c r="G136" s="200">
        <v>0.05</v>
      </c>
      <c r="H136" s="283"/>
      <c r="I136" s="283"/>
      <c r="J136" s="197">
        <v>4</v>
      </c>
      <c r="K136" s="303">
        <v>0</v>
      </c>
      <c r="L136" s="200">
        <v>0.05</v>
      </c>
      <c r="M136" s="283"/>
      <c r="N136" s="283"/>
      <c r="O136" s="283"/>
      <c r="P136" s="283"/>
      <c r="Q136" s="283"/>
    </row>
    <row r="137" spans="1:17" s="194" customFormat="1" x14ac:dyDescent="0.25">
      <c r="A137" s="355"/>
      <c r="B137" s="153" t="s">
        <v>313</v>
      </c>
      <c r="C137" s="148">
        <v>0.2</v>
      </c>
      <c r="E137" s="35">
        <v>5</v>
      </c>
      <c r="F137" s="304">
        <v>0</v>
      </c>
      <c r="G137" s="201">
        <v>0.05</v>
      </c>
      <c r="H137" s="283"/>
      <c r="I137" s="283"/>
      <c r="J137" s="35">
        <v>5</v>
      </c>
      <c r="K137" s="304">
        <v>0</v>
      </c>
      <c r="L137" s="201">
        <v>0.05</v>
      </c>
      <c r="M137" s="283"/>
      <c r="N137" s="283"/>
      <c r="O137" s="283"/>
      <c r="P137" s="283"/>
      <c r="Q137" s="283"/>
    </row>
    <row r="138" spans="1:17" s="194" customFormat="1" ht="15.75" thickBot="1" x14ac:dyDescent="0.3">
      <c r="A138" s="356"/>
      <c r="B138" s="154" t="s">
        <v>314</v>
      </c>
      <c r="C138" s="155">
        <v>0.93</v>
      </c>
      <c r="E138" s="198">
        <v>6</v>
      </c>
      <c r="F138" s="305">
        <v>0</v>
      </c>
      <c r="G138" s="182">
        <v>0.05</v>
      </c>
      <c r="H138" s="283"/>
      <c r="I138" s="283"/>
      <c r="J138" s="198">
        <v>6</v>
      </c>
      <c r="K138" s="305">
        <v>0</v>
      </c>
      <c r="L138" s="182">
        <v>0.05</v>
      </c>
      <c r="M138" s="283"/>
      <c r="N138" s="283"/>
      <c r="O138" s="283"/>
      <c r="P138" s="283"/>
      <c r="Q138" s="283"/>
    </row>
    <row r="139" spans="1:17" s="194" customFormat="1" ht="15.75" thickBot="1" x14ac:dyDescent="0.3">
      <c r="A139" s="156" t="s">
        <v>245</v>
      </c>
      <c r="B139" s="157">
        <v>0.02</v>
      </c>
      <c r="C139" s="158"/>
    </row>
    <row r="140" spans="1:17" s="194" customFormat="1" ht="15.75" thickBot="1" x14ac:dyDescent="0.3">
      <c r="A140" s="141" t="s">
        <v>294</v>
      </c>
      <c r="B140" s="159">
        <v>0.89600000000000002</v>
      </c>
      <c r="C140" s="160"/>
    </row>
    <row r="141" spans="1:17" s="194" customFormat="1" x14ac:dyDescent="0.25"/>
    <row r="142" spans="1:17" s="194" customFormat="1" ht="15.75" thickBot="1" x14ac:dyDescent="0.3">
      <c r="A142" s="195" t="s">
        <v>319</v>
      </c>
      <c r="B142" s="196" t="s">
        <v>321</v>
      </c>
      <c r="E142" s="72" t="s">
        <v>325</v>
      </c>
      <c r="F142" s="161">
        <v>0</v>
      </c>
      <c r="G142" s="325" t="s">
        <v>292</v>
      </c>
      <c r="H142" s="161">
        <v>39</v>
      </c>
      <c r="I142" s="161"/>
      <c r="J142" s="72" t="s">
        <v>326</v>
      </c>
      <c r="K142" s="161">
        <v>40</v>
      </c>
      <c r="L142" s="325" t="s">
        <v>292</v>
      </c>
      <c r="M142" s="161">
        <v>80</v>
      </c>
      <c r="N142" s="325"/>
      <c r="O142" s="325"/>
      <c r="P142" s="325"/>
      <c r="Q142" s="325"/>
    </row>
    <row r="143" spans="1:17" s="194" customFormat="1" ht="15.75" thickBot="1" x14ac:dyDescent="0.3">
      <c r="A143" s="142" t="s">
        <v>293</v>
      </c>
      <c r="B143" s="143" t="s">
        <v>117</v>
      </c>
      <c r="C143" s="315" t="s">
        <v>287</v>
      </c>
      <c r="E143" s="199" t="s">
        <v>288</v>
      </c>
      <c r="F143" s="302">
        <v>2</v>
      </c>
      <c r="G143" s="315">
        <v>5</v>
      </c>
      <c r="J143" s="199" t="s">
        <v>288</v>
      </c>
      <c r="K143" s="302">
        <v>2</v>
      </c>
      <c r="L143" s="315">
        <v>5</v>
      </c>
    </row>
    <row r="144" spans="1:17" s="194" customFormat="1" ht="15.75" thickTop="1" x14ac:dyDescent="0.25">
      <c r="A144" s="144" t="s">
        <v>118</v>
      </c>
      <c r="B144" s="145">
        <v>355</v>
      </c>
      <c r="C144" s="152">
        <v>1.03E-2</v>
      </c>
      <c r="E144" s="197">
        <v>1</v>
      </c>
      <c r="F144" s="303">
        <v>3.5000000000000003E-2</v>
      </c>
      <c r="G144" s="200">
        <v>0.26</v>
      </c>
      <c r="H144" s="283"/>
      <c r="I144" s="283"/>
      <c r="J144" s="197">
        <v>1</v>
      </c>
      <c r="K144" s="303">
        <v>3.5000000000000003E-2</v>
      </c>
      <c r="L144" s="200">
        <v>0.26</v>
      </c>
      <c r="M144" s="283"/>
      <c r="N144" s="283"/>
      <c r="O144" s="283"/>
      <c r="P144" s="283"/>
      <c r="Q144" s="283"/>
    </row>
    <row r="145" spans="1:17" s="194" customFormat="1" x14ac:dyDescent="0.25">
      <c r="A145" s="146" t="s">
        <v>119</v>
      </c>
      <c r="B145" s="147">
        <v>342</v>
      </c>
      <c r="C145" s="162">
        <v>3.0999999999999999E-3</v>
      </c>
      <c r="E145" s="197">
        <v>2</v>
      </c>
      <c r="F145" s="303">
        <v>0.02</v>
      </c>
      <c r="G145" s="200">
        <v>0.1</v>
      </c>
      <c r="H145" s="283"/>
      <c r="I145" s="283"/>
      <c r="J145" s="197">
        <v>2</v>
      </c>
      <c r="K145" s="303">
        <v>0.02</v>
      </c>
      <c r="L145" s="200">
        <v>0.1</v>
      </c>
      <c r="M145" s="283"/>
      <c r="N145" s="283"/>
      <c r="O145" s="283"/>
      <c r="P145" s="283"/>
      <c r="Q145" s="283"/>
    </row>
    <row r="146" spans="1:17" s="194" customFormat="1" ht="15.75" thickBot="1" x14ac:dyDescent="0.3">
      <c r="A146" s="149" t="s">
        <v>120</v>
      </c>
      <c r="B146" s="150">
        <v>0</v>
      </c>
      <c r="C146" s="163">
        <v>8.3999999999999995E-3</v>
      </c>
      <c r="E146" s="197">
        <v>3</v>
      </c>
      <c r="F146" s="303">
        <v>0.02</v>
      </c>
      <c r="G146" s="200">
        <v>0.05</v>
      </c>
      <c r="H146" s="283"/>
      <c r="I146" s="283"/>
      <c r="J146" s="197">
        <v>3</v>
      </c>
      <c r="K146" s="303">
        <v>0.02</v>
      </c>
      <c r="L146" s="200">
        <v>0.05</v>
      </c>
      <c r="M146" s="283"/>
      <c r="N146" s="283"/>
      <c r="O146" s="283"/>
      <c r="P146" s="283"/>
      <c r="Q146" s="283"/>
    </row>
    <row r="147" spans="1:17" s="194" customFormat="1" x14ac:dyDescent="0.25">
      <c r="A147" s="355" t="s">
        <v>244</v>
      </c>
      <c r="B147" s="151" t="s">
        <v>312</v>
      </c>
      <c r="C147" s="164">
        <v>2.5200000000000001E-3</v>
      </c>
      <c r="E147" s="197">
        <v>4</v>
      </c>
      <c r="F147" s="303">
        <v>0</v>
      </c>
      <c r="G147" s="200">
        <v>0.05</v>
      </c>
      <c r="H147" s="283"/>
      <c r="I147" s="283"/>
      <c r="J147" s="197">
        <v>4</v>
      </c>
      <c r="K147" s="303">
        <v>0</v>
      </c>
      <c r="L147" s="200">
        <v>0.05</v>
      </c>
      <c r="M147" s="283"/>
      <c r="N147" s="283"/>
      <c r="O147" s="283"/>
      <c r="P147" s="283"/>
      <c r="Q147" s="283"/>
    </row>
    <row r="148" spans="1:17" s="194" customFormat="1" x14ac:dyDescent="0.25">
      <c r="A148" s="355"/>
      <c r="B148" s="153" t="s">
        <v>313</v>
      </c>
      <c r="C148" s="148">
        <v>0.2</v>
      </c>
      <c r="E148" s="35">
        <v>5</v>
      </c>
      <c r="F148" s="304">
        <v>0</v>
      </c>
      <c r="G148" s="201">
        <v>0.05</v>
      </c>
      <c r="H148" s="283"/>
      <c r="I148" s="283"/>
      <c r="J148" s="35">
        <v>5</v>
      </c>
      <c r="K148" s="304">
        <v>0</v>
      </c>
      <c r="L148" s="201">
        <v>0.05</v>
      </c>
      <c r="M148" s="283"/>
      <c r="N148" s="283"/>
      <c r="O148" s="283"/>
      <c r="P148" s="283"/>
      <c r="Q148" s="283"/>
    </row>
    <row r="149" spans="1:17" s="194" customFormat="1" ht="15.75" thickBot="1" x14ac:dyDescent="0.3">
      <c r="A149" s="356"/>
      <c r="B149" s="154" t="s">
        <v>314</v>
      </c>
      <c r="C149" s="155">
        <v>0.93</v>
      </c>
      <c r="E149" s="198">
        <v>6</v>
      </c>
      <c r="F149" s="305">
        <v>0</v>
      </c>
      <c r="G149" s="182">
        <v>0.05</v>
      </c>
      <c r="H149" s="283"/>
      <c r="I149" s="283"/>
      <c r="J149" s="198">
        <v>6</v>
      </c>
      <c r="K149" s="305">
        <v>0</v>
      </c>
      <c r="L149" s="182">
        <v>0.05</v>
      </c>
      <c r="M149" s="283"/>
      <c r="N149" s="283"/>
      <c r="O149" s="283"/>
      <c r="P149" s="283"/>
      <c r="Q149" s="283"/>
    </row>
    <row r="150" spans="1:17" s="194" customFormat="1" ht="15.75" thickBot="1" x14ac:dyDescent="0.3">
      <c r="A150" s="156" t="s">
        <v>245</v>
      </c>
      <c r="B150" s="157">
        <v>0.02</v>
      </c>
      <c r="C150" s="158"/>
    </row>
    <row r="151" spans="1:17" s="194" customFormat="1" ht="15.75" thickBot="1" x14ac:dyDescent="0.3">
      <c r="A151" s="141" t="s">
        <v>294</v>
      </c>
      <c r="B151" s="159">
        <v>7.0000000000000007E-2</v>
      </c>
      <c r="C151" s="160"/>
    </row>
    <row r="152" spans="1:17" s="194" customFormat="1" x14ac:dyDescent="0.25">
      <c r="B152" s="193"/>
      <c r="C152" s="193"/>
    </row>
    <row r="153" spans="1:17" s="204" customFormat="1" ht="15.75" thickBot="1" x14ac:dyDescent="0.3">
      <c r="A153" s="202" t="s">
        <v>315</v>
      </c>
      <c r="B153" s="203"/>
      <c r="H153" s="204" t="s">
        <v>299</v>
      </c>
    </row>
    <row r="154" spans="1:17" s="204" customFormat="1" ht="18" x14ac:dyDescent="0.25">
      <c r="A154" s="215" t="s">
        <v>246</v>
      </c>
      <c r="B154" s="329">
        <v>2</v>
      </c>
      <c r="C154" s="351"/>
      <c r="D154" s="284">
        <v>5</v>
      </c>
      <c r="E154" s="214"/>
      <c r="F154" s="291" t="s">
        <v>316</v>
      </c>
      <c r="G154" s="331"/>
      <c r="H154" s="332"/>
      <c r="K154" s="204">
        <v>5</v>
      </c>
    </row>
    <row r="155" spans="1:17" s="204" customFormat="1" ht="15.75" customHeight="1" thickBot="1" x14ac:dyDescent="0.3">
      <c r="A155" s="223" t="s">
        <v>317</v>
      </c>
      <c r="B155" s="224" t="s">
        <v>247</v>
      </c>
      <c r="C155" s="225" t="s">
        <v>248</v>
      </c>
      <c r="D155" s="285" t="s">
        <v>247</v>
      </c>
      <c r="E155" s="232" t="s">
        <v>248</v>
      </c>
      <c r="F155" s="292"/>
      <c r="G155" s="266"/>
      <c r="H155" s="247"/>
      <c r="I155" s="204" t="s">
        <v>247</v>
      </c>
      <c r="J155" s="204" t="s">
        <v>248</v>
      </c>
      <c r="K155" s="204" t="s">
        <v>247</v>
      </c>
      <c r="L155" s="204" t="s">
        <v>248</v>
      </c>
    </row>
    <row r="156" spans="1:17" s="204" customFormat="1" ht="15.75" thickTop="1" x14ac:dyDescent="0.25">
      <c r="A156" s="220">
        <v>0</v>
      </c>
      <c r="B156" s="221">
        <v>9.8172011620060607E-3</v>
      </c>
      <c r="C156" s="222">
        <v>8.2814321880368396E-3</v>
      </c>
      <c r="D156" s="286">
        <v>6.1972442320461897E-3</v>
      </c>
      <c r="E156" s="233">
        <v>5.0318027436969098E-3</v>
      </c>
      <c r="F156" s="293">
        <f>SUM(B156:E156)</f>
        <v>2.9327680325785997E-2</v>
      </c>
      <c r="G156" s="294"/>
      <c r="H156" s="295" t="s">
        <v>341</v>
      </c>
      <c r="I156" s="204">
        <v>5</v>
      </c>
      <c r="J156" s="204">
        <v>5</v>
      </c>
      <c r="K156" s="204">
        <v>5</v>
      </c>
      <c r="L156" s="204">
        <v>5</v>
      </c>
    </row>
    <row r="157" spans="1:17" s="204" customFormat="1" x14ac:dyDescent="0.25">
      <c r="A157" s="216">
        <v>10</v>
      </c>
      <c r="B157" s="218">
        <v>2.9414924008323101E-2</v>
      </c>
      <c r="C157" s="219">
        <v>2.2863283937503899E-2</v>
      </c>
      <c r="D157" s="287">
        <v>1.48692595700619E-2</v>
      </c>
      <c r="E157" s="233">
        <v>1.16803847021252E-2</v>
      </c>
      <c r="F157" s="296">
        <f>SUM(B157:E157)</f>
        <v>7.8827852218014111E-2</v>
      </c>
      <c r="G157" s="297"/>
      <c r="H157" s="298" t="s">
        <v>342</v>
      </c>
      <c r="I157" s="204">
        <v>15</v>
      </c>
      <c r="J157" s="204">
        <v>15</v>
      </c>
      <c r="K157" s="204">
        <v>15</v>
      </c>
      <c r="L157" s="204">
        <v>15</v>
      </c>
    </row>
    <row r="158" spans="1:17" s="204" customFormat="1" x14ac:dyDescent="0.25">
      <c r="A158" s="216">
        <v>20</v>
      </c>
      <c r="B158" s="218">
        <v>5.4952427368441699E-2</v>
      </c>
      <c r="C158" s="219">
        <v>4.7401493619984497E-2</v>
      </c>
      <c r="D158" s="287">
        <v>2.9712992467561199E-2</v>
      </c>
      <c r="E158" s="233">
        <v>2.7072296935737199E-2</v>
      </c>
      <c r="F158" s="296">
        <f>SUM(B158:E158)</f>
        <v>0.1591392103917246</v>
      </c>
      <c r="G158" s="297"/>
      <c r="H158" s="298" t="s">
        <v>343</v>
      </c>
      <c r="I158" s="204">
        <v>25</v>
      </c>
      <c r="J158" s="204">
        <v>25</v>
      </c>
      <c r="K158" s="204">
        <v>25</v>
      </c>
      <c r="L158" s="204">
        <v>25</v>
      </c>
    </row>
    <row r="159" spans="1:17" s="204" customFormat="1" x14ac:dyDescent="0.25">
      <c r="A159" s="216">
        <v>30</v>
      </c>
      <c r="B159" s="218">
        <v>6.3437993768270903E-2</v>
      </c>
      <c r="C159" s="219">
        <v>6.9067219741002203E-2</v>
      </c>
      <c r="D159" s="287">
        <v>3.4147223194497998E-2</v>
      </c>
      <c r="E159" s="233">
        <v>3.6350276354945803E-2</v>
      </c>
      <c r="F159" s="296">
        <f>SUM(B159:E159)</f>
        <v>0.20300271305871692</v>
      </c>
      <c r="G159" s="297"/>
      <c r="H159" s="298" t="s">
        <v>344</v>
      </c>
      <c r="I159" s="204">
        <v>35</v>
      </c>
      <c r="J159" s="204">
        <v>35</v>
      </c>
      <c r="K159" s="204">
        <v>35</v>
      </c>
      <c r="L159" s="204">
        <v>35</v>
      </c>
    </row>
    <row r="160" spans="1:17" s="204" customFormat="1" x14ac:dyDescent="0.25">
      <c r="A160" s="216">
        <v>40</v>
      </c>
      <c r="B160" s="218">
        <v>3.00879481007576E-2</v>
      </c>
      <c r="C160" s="219">
        <v>6.0960675819983101E-2</v>
      </c>
      <c r="D160" s="287">
        <v>1.52110034518549E-2</v>
      </c>
      <c r="E160" s="233">
        <v>2.8785445015601201E-2</v>
      </c>
      <c r="F160" s="296">
        <f>SUM(B160:E160)</f>
        <v>0.1350450723881968</v>
      </c>
      <c r="G160" s="297"/>
      <c r="H160" s="298" t="s">
        <v>345</v>
      </c>
      <c r="I160" s="204">
        <v>45</v>
      </c>
      <c r="J160" s="204">
        <v>45</v>
      </c>
      <c r="K160" s="204">
        <v>45</v>
      </c>
      <c r="L160" s="204">
        <v>45</v>
      </c>
    </row>
    <row r="161" spans="1:13" s="204" customFormat="1" x14ac:dyDescent="0.25">
      <c r="A161" s="216">
        <v>50</v>
      </c>
      <c r="B161" s="218">
        <v>2.4047780112169601E-2</v>
      </c>
      <c r="C161" s="219">
        <v>6.3545942856032503E-2</v>
      </c>
      <c r="D161" s="287">
        <v>1.23022650967053E-2</v>
      </c>
      <c r="E161" s="233">
        <v>3.1184690342602999E-2</v>
      </c>
      <c r="F161" s="296">
        <f>SUM(B161:E161)</f>
        <v>0.13108067840751039</v>
      </c>
      <c r="G161" s="297"/>
      <c r="H161" s="298" t="s">
        <v>346</v>
      </c>
      <c r="I161" s="204">
        <v>55</v>
      </c>
      <c r="J161" s="204">
        <v>55</v>
      </c>
      <c r="K161" s="204">
        <v>55</v>
      </c>
      <c r="L161" s="204">
        <v>55</v>
      </c>
    </row>
    <row r="162" spans="1:13" s="204" customFormat="1" x14ac:dyDescent="0.25">
      <c r="A162" s="216">
        <v>60</v>
      </c>
      <c r="B162" s="218">
        <v>1.2216015500889301E-2</v>
      </c>
      <c r="C162" s="219">
        <v>3.6024404369300503E-2</v>
      </c>
      <c r="D162" s="287">
        <v>7.1371045971689098E-3</v>
      </c>
      <c r="E162" s="233">
        <v>1.7637111869140298E-2</v>
      </c>
      <c r="F162" s="296">
        <f>SUM(B162:E162)</f>
        <v>7.3014636336499017E-2</v>
      </c>
      <c r="G162" s="297"/>
      <c r="H162" s="298" t="s">
        <v>347</v>
      </c>
      <c r="I162" s="204">
        <v>65</v>
      </c>
      <c r="J162" s="204">
        <v>65</v>
      </c>
      <c r="K162" s="204">
        <v>65</v>
      </c>
      <c r="L162" s="204">
        <v>65</v>
      </c>
    </row>
    <row r="163" spans="1:13" s="204" customFormat="1" ht="15.75" thickBot="1" x14ac:dyDescent="0.3">
      <c r="A163" s="226">
        <v>70</v>
      </c>
      <c r="B163" s="227">
        <v>1.3003343313053701E-3</v>
      </c>
      <c r="C163" s="228">
        <v>2.9367354255840799E-3</v>
      </c>
      <c r="D163" s="288">
        <v>2.0906874366167E-4</v>
      </c>
      <c r="E163" s="233">
        <v>6.57057440454311E-4</v>
      </c>
      <c r="F163" s="299">
        <f>SUM(B163:E163)</f>
        <v>5.1031959410054312E-3</v>
      </c>
      <c r="G163" s="300"/>
      <c r="H163" s="301" t="s">
        <v>348</v>
      </c>
      <c r="I163" s="204">
        <v>75</v>
      </c>
      <c r="J163" s="204">
        <v>75</v>
      </c>
      <c r="K163" s="204">
        <v>75</v>
      </c>
      <c r="L163" s="204">
        <v>75</v>
      </c>
    </row>
    <row r="164" spans="1:13" s="204" customFormat="1" ht="15.75" thickBot="1" x14ac:dyDescent="0.3">
      <c r="A164" s="229" t="s">
        <v>316</v>
      </c>
      <c r="B164" s="230">
        <f>SUM(B156:B163)</f>
        <v>0.22527462435216361</v>
      </c>
      <c r="C164" s="231">
        <f>SUM(C156:C163)</f>
        <v>0.31108118795742762</v>
      </c>
      <c r="D164" s="289">
        <f>SUM(D156:D163)</f>
        <v>0.11978616135355807</v>
      </c>
      <c r="E164" s="233">
        <f>SUM(E156:E163)</f>
        <v>0.1583990654043039</v>
      </c>
      <c r="F164" s="290">
        <f>SUM(B164:E164)</f>
        <v>0.81454103906745323</v>
      </c>
      <c r="G164" s="290"/>
      <c r="H164" s="290"/>
      <c r="I164" s="290"/>
      <c r="J164" s="290"/>
      <c r="K164" s="290"/>
      <c r="L164" s="290"/>
      <c r="M164" s="290"/>
    </row>
    <row r="165" spans="1:13" s="204" customFormat="1" x14ac:dyDescent="0.25">
      <c r="A165" s="202"/>
      <c r="B165" s="203"/>
    </row>
    <row r="166" spans="1:13" s="204" customFormat="1" ht="15.75" thickBot="1" x14ac:dyDescent="0.3">
      <c r="A166" s="204" t="s">
        <v>300</v>
      </c>
    </row>
    <row r="167" spans="1:13" s="204" customFormat="1" ht="18" x14ac:dyDescent="0.25">
      <c r="A167" s="215" t="s">
        <v>246</v>
      </c>
      <c r="B167" s="329">
        <v>2</v>
      </c>
      <c r="C167" s="330"/>
      <c r="D167" s="204">
        <v>5</v>
      </c>
    </row>
    <row r="168" spans="1:13" s="204" customFormat="1" ht="15.75" thickBot="1" x14ac:dyDescent="0.3">
      <c r="A168" s="223" t="s">
        <v>317</v>
      </c>
      <c r="B168" s="224" t="s">
        <v>247</v>
      </c>
      <c r="C168" s="247" t="s">
        <v>248</v>
      </c>
      <c r="D168" s="204" t="s">
        <v>247</v>
      </c>
      <c r="E168" s="204" t="s">
        <v>248</v>
      </c>
    </row>
    <row r="169" spans="1:13" s="204" customFormat="1" ht="15.75" thickTop="1" x14ac:dyDescent="0.25">
      <c r="A169" s="220">
        <v>0</v>
      </c>
      <c r="B169" s="248">
        <v>79000</v>
      </c>
      <c r="C169" s="246">
        <v>79000</v>
      </c>
      <c r="D169" s="204">
        <v>68000</v>
      </c>
      <c r="E169" s="204">
        <v>68000</v>
      </c>
    </row>
    <row r="170" spans="1:13" s="204" customFormat="1" x14ac:dyDescent="0.25">
      <c r="A170" s="216">
        <v>10</v>
      </c>
      <c r="B170" s="249">
        <v>79000</v>
      </c>
      <c r="C170" s="244">
        <v>79000</v>
      </c>
      <c r="D170" s="204">
        <v>68000</v>
      </c>
      <c r="E170" s="204">
        <v>68000</v>
      </c>
    </row>
    <row r="171" spans="1:13" s="204" customFormat="1" x14ac:dyDescent="0.25">
      <c r="A171" s="216">
        <v>20</v>
      </c>
      <c r="B171" s="249">
        <v>79000</v>
      </c>
      <c r="C171" s="244">
        <v>79000</v>
      </c>
      <c r="D171" s="204">
        <v>68000</v>
      </c>
      <c r="E171" s="204">
        <v>68000</v>
      </c>
    </row>
    <row r="172" spans="1:13" s="204" customFormat="1" x14ac:dyDescent="0.25">
      <c r="A172" s="216">
        <v>30</v>
      </c>
      <c r="B172" s="249">
        <v>79000</v>
      </c>
      <c r="C172" s="244">
        <v>79000</v>
      </c>
      <c r="D172" s="204">
        <v>68000</v>
      </c>
      <c r="E172" s="204">
        <v>68000</v>
      </c>
    </row>
    <row r="173" spans="1:13" s="204" customFormat="1" x14ac:dyDescent="0.25">
      <c r="A173" s="216">
        <v>40</v>
      </c>
      <c r="B173" s="249">
        <v>79000</v>
      </c>
      <c r="C173" s="244">
        <v>79000</v>
      </c>
      <c r="D173" s="204">
        <v>68000</v>
      </c>
      <c r="E173" s="204">
        <v>68000</v>
      </c>
    </row>
    <row r="174" spans="1:13" s="204" customFormat="1" x14ac:dyDescent="0.25">
      <c r="A174" s="216">
        <v>50</v>
      </c>
      <c r="B174" s="249">
        <v>79000</v>
      </c>
      <c r="C174" s="244">
        <v>79000</v>
      </c>
      <c r="D174" s="204">
        <v>68000</v>
      </c>
      <c r="E174" s="204">
        <v>68000</v>
      </c>
    </row>
    <row r="175" spans="1:13" s="204" customFormat="1" x14ac:dyDescent="0.25">
      <c r="A175" s="216">
        <v>60</v>
      </c>
      <c r="B175" s="249">
        <v>79000</v>
      </c>
      <c r="C175" s="244">
        <v>79000</v>
      </c>
      <c r="D175" s="204">
        <v>68000</v>
      </c>
      <c r="E175" s="204">
        <v>68000</v>
      </c>
    </row>
    <row r="176" spans="1:13" s="204" customFormat="1" ht="15.75" thickBot="1" x14ac:dyDescent="0.3">
      <c r="A176" s="217">
        <v>70</v>
      </c>
      <c r="B176" s="250">
        <v>79000</v>
      </c>
      <c r="C176" s="245">
        <v>79000</v>
      </c>
      <c r="D176" s="204">
        <v>68000</v>
      </c>
      <c r="E176" s="204">
        <v>68000</v>
      </c>
    </row>
    <row r="177" spans="1:8" s="204" customFormat="1" x14ac:dyDescent="0.25">
      <c r="A177" s="205"/>
      <c r="B177" s="206"/>
      <c r="C177" s="206"/>
    </row>
    <row r="178" spans="1:8" s="204" customFormat="1" x14ac:dyDescent="0.3">
      <c r="A178" s="206"/>
      <c r="B178" s="207"/>
      <c r="C178" s="207"/>
    </row>
    <row r="179" spans="1:8" s="204" customFormat="1" x14ac:dyDescent="0.3">
      <c r="A179" s="206"/>
      <c r="B179" s="207"/>
      <c r="C179" s="207"/>
    </row>
    <row r="180" spans="1:8" s="204" customFormat="1" x14ac:dyDescent="0.3">
      <c r="A180" s="206"/>
      <c r="B180" s="207"/>
      <c r="C180" s="207"/>
    </row>
    <row r="181" spans="1:8" s="204" customFormat="1" x14ac:dyDescent="0.3">
      <c r="A181" s="206"/>
      <c r="B181" s="207"/>
      <c r="C181" s="207"/>
      <c r="D181" s="208"/>
      <c r="F181" s="206"/>
      <c r="G181" s="207"/>
      <c r="H181" s="207"/>
    </row>
    <row r="182" spans="1:8" s="204" customFormat="1" x14ac:dyDescent="0.3">
      <c r="A182" s="206"/>
      <c r="B182" s="207"/>
      <c r="C182" s="207"/>
      <c r="D182" s="208"/>
      <c r="F182" s="206"/>
      <c r="G182" s="207"/>
      <c r="H182" s="207"/>
    </row>
    <row r="183" spans="1:8" s="204" customFormat="1" x14ac:dyDescent="0.3">
      <c r="A183" s="206"/>
      <c r="B183" s="207"/>
      <c r="C183" s="207"/>
      <c r="D183" s="208"/>
      <c r="F183" s="206"/>
      <c r="G183" s="207"/>
      <c r="H183" s="207"/>
    </row>
    <row r="184" spans="1:8" s="204" customFormat="1" x14ac:dyDescent="0.3">
      <c r="A184" s="206"/>
      <c r="B184" s="207"/>
      <c r="C184" s="207"/>
      <c r="D184" s="208"/>
      <c r="F184" s="206"/>
      <c r="G184" s="207"/>
      <c r="H184" s="207"/>
    </row>
    <row r="185" spans="1:8" s="204" customFormat="1" x14ac:dyDescent="0.3">
      <c r="A185" s="205"/>
      <c r="B185" s="207"/>
      <c r="C185" s="207"/>
      <c r="D185" s="208"/>
    </row>
    <row r="186" spans="1:8" s="204" customFormat="1" x14ac:dyDescent="0.25"/>
    <row r="187" spans="1:8" s="204" customFormat="1" x14ac:dyDescent="0.25"/>
    <row r="188" spans="1:8" s="204" customFormat="1" x14ac:dyDescent="0.25">
      <c r="A188" s="209"/>
      <c r="B188" s="209"/>
      <c r="C188" s="209"/>
    </row>
    <row r="189" spans="1:8" s="204" customFormat="1" x14ac:dyDescent="0.25">
      <c r="A189" s="210"/>
      <c r="B189" s="209"/>
      <c r="C189" s="209"/>
    </row>
    <row r="190" spans="1:8" s="204" customFormat="1" x14ac:dyDescent="0.25">
      <c r="A190" s="211"/>
      <c r="B190" s="209"/>
      <c r="C190" s="209"/>
    </row>
    <row r="191" spans="1:8" s="204" customFormat="1" x14ac:dyDescent="0.25">
      <c r="A191" s="211"/>
      <c r="B191" s="209"/>
      <c r="C191" s="209"/>
    </row>
    <row r="192" spans="1:8" s="204" customFormat="1" x14ac:dyDescent="0.25">
      <c r="A192" s="211"/>
      <c r="B192" s="209"/>
      <c r="C192" s="209"/>
    </row>
    <row r="193" spans="1:17" s="204" customFormat="1" x14ac:dyDescent="0.25">
      <c r="A193" s="211"/>
      <c r="B193" s="209"/>
      <c r="C193" s="209"/>
    </row>
    <row r="194" spans="1:17" s="204" customFormat="1" x14ac:dyDescent="0.25">
      <c r="A194" s="211"/>
      <c r="B194" s="209"/>
      <c r="C194" s="209"/>
    </row>
    <row r="195" spans="1:17" s="204" customFormat="1" x14ac:dyDescent="0.25">
      <c r="A195" s="211"/>
      <c r="B195" s="209"/>
      <c r="C195" s="209"/>
    </row>
    <row r="196" spans="1:17" s="204" customFormat="1" x14ac:dyDescent="0.25">
      <c r="A196" s="211"/>
      <c r="B196" s="209"/>
      <c r="C196" s="209"/>
    </row>
    <row r="197" spans="1:17" s="204" customFormat="1" x14ac:dyDescent="0.25"/>
    <row r="198" spans="1:17" s="204" customFormat="1" x14ac:dyDescent="0.25">
      <c r="O198" s="212"/>
      <c r="P198" s="212"/>
      <c r="Q198" s="212"/>
    </row>
    <row r="199" spans="1:17" s="212" customFormat="1" x14ac:dyDescent="0.25">
      <c r="A199" s="204"/>
      <c r="B199" s="204"/>
      <c r="C199" s="204"/>
      <c r="D199" s="204"/>
      <c r="E199" s="204"/>
      <c r="F199" s="204"/>
      <c r="G199" s="204"/>
      <c r="H199" s="204"/>
      <c r="I199" s="204"/>
      <c r="J199" s="204"/>
      <c r="K199" s="204"/>
      <c r="L199" s="204"/>
      <c r="M199" s="204"/>
      <c r="N199" s="204"/>
    </row>
    <row r="200" spans="1:17" s="212" customFormat="1" x14ac:dyDescent="0.25">
      <c r="A200" s="204"/>
      <c r="B200" s="204"/>
      <c r="C200" s="204"/>
      <c r="D200" s="204"/>
      <c r="E200" s="204"/>
      <c r="F200" s="204"/>
      <c r="G200" s="204"/>
      <c r="H200" s="204"/>
      <c r="I200" s="204"/>
      <c r="J200" s="204"/>
      <c r="K200" s="204"/>
      <c r="L200" s="204"/>
      <c r="M200" s="204"/>
      <c r="N200" s="204"/>
    </row>
    <row r="201" spans="1:17" s="212" customFormat="1" x14ac:dyDescent="0.25">
      <c r="A201" s="204"/>
      <c r="B201" s="204"/>
      <c r="C201" s="204"/>
      <c r="D201" s="204"/>
      <c r="E201" s="204"/>
      <c r="F201" s="204"/>
      <c r="G201" s="204"/>
      <c r="H201" s="204"/>
      <c r="I201" s="204"/>
      <c r="J201" s="204"/>
      <c r="K201" s="204"/>
      <c r="L201" s="204"/>
      <c r="M201" s="204"/>
      <c r="N201" s="204"/>
    </row>
    <row r="202" spans="1:17" s="212" customFormat="1" x14ac:dyDescent="0.25">
      <c r="A202" s="204"/>
      <c r="B202" s="204"/>
      <c r="C202" s="204"/>
      <c r="D202" s="204"/>
      <c r="E202" s="204"/>
      <c r="F202" s="204"/>
      <c r="G202" s="204"/>
      <c r="H202" s="204"/>
      <c r="I202" s="204"/>
      <c r="J202" s="204"/>
      <c r="K202" s="204"/>
      <c r="L202" s="204"/>
      <c r="M202" s="204"/>
      <c r="N202" s="204"/>
    </row>
    <row r="203" spans="1:17" s="212" customFormat="1" x14ac:dyDescent="0.25">
      <c r="A203" s="204"/>
      <c r="B203" s="204"/>
      <c r="C203" s="204"/>
      <c r="D203" s="204"/>
      <c r="E203" s="204"/>
      <c r="F203" s="204"/>
      <c r="G203" s="204"/>
      <c r="H203" s="204"/>
      <c r="I203" s="204"/>
      <c r="J203" s="204"/>
      <c r="K203" s="204"/>
      <c r="L203" s="204"/>
      <c r="M203" s="204"/>
      <c r="N203" s="204"/>
    </row>
    <row r="204" spans="1:17" s="212" customFormat="1" x14ac:dyDescent="0.25">
      <c r="A204" s="204"/>
      <c r="B204" s="204"/>
      <c r="C204" s="204"/>
      <c r="D204" s="204"/>
      <c r="E204" s="204"/>
      <c r="F204" s="204"/>
      <c r="G204" s="204"/>
      <c r="H204" s="204"/>
      <c r="I204" s="204"/>
      <c r="J204" s="204"/>
      <c r="K204" s="204"/>
      <c r="L204" s="204"/>
      <c r="M204" s="204"/>
      <c r="N204" s="204"/>
    </row>
    <row r="205" spans="1:17" s="212" customFormat="1" x14ac:dyDescent="0.25">
      <c r="A205" s="204"/>
      <c r="B205" s="204"/>
      <c r="C205" s="204"/>
      <c r="D205" s="204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</row>
    <row r="206" spans="1:17" s="212" customFormat="1" x14ac:dyDescent="0.25">
      <c r="A206" s="204"/>
      <c r="B206" s="204"/>
      <c r="C206" s="204"/>
      <c r="D206" s="204"/>
      <c r="E206" s="204"/>
      <c r="F206" s="204"/>
      <c r="G206" s="204"/>
      <c r="H206" s="204"/>
      <c r="I206" s="204"/>
      <c r="J206" s="204"/>
      <c r="K206" s="204"/>
      <c r="L206" s="204"/>
      <c r="M206" s="204"/>
      <c r="N206" s="204"/>
    </row>
    <row r="207" spans="1:17" s="212" customFormat="1" x14ac:dyDescent="0.25">
      <c r="A207" s="204"/>
      <c r="B207" s="204"/>
      <c r="C207" s="204"/>
      <c r="D207" s="204"/>
      <c r="E207" s="204"/>
      <c r="F207" s="204"/>
      <c r="G207" s="204"/>
      <c r="H207" s="204"/>
      <c r="I207" s="204"/>
      <c r="J207" s="204"/>
      <c r="K207" s="204"/>
      <c r="L207" s="204"/>
      <c r="M207" s="204"/>
      <c r="N207" s="204"/>
    </row>
    <row r="208" spans="1:17" s="212" customFormat="1" x14ac:dyDescent="0.25">
      <c r="A208" s="204"/>
      <c r="B208" s="204"/>
      <c r="C208" s="204"/>
      <c r="D208" s="204"/>
      <c r="E208" s="204"/>
      <c r="F208" s="204"/>
      <c r="G208" s="204"/>
      <c r="H208" s="204"/>
      <c r="I208" s="204"/>
      <c r="J208" s="204"/>
      <c r="K208" s="204"/>
      <c r="L208" s="204"/>
      <c r="M208" s="204"/>
      <c r="N208" s="204"/>
    </row>
    <row r="209" spans="1:14" s="212" customFormat="1" x14ac:dyDescent="0.25">
      <c r="A209" s="204"/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</row>
    <row r="210" spans="1:14" s="212" customFormat="1" x14ac:dyDescent="0.25">
      <c r="A210" s="204"/>
      <c r="B210" s="204"/>
      <c r="C210" s="204"/>
      <c r="D210" s="204"/>
      <c r="E210" s="204"/>
      <c r="F210" s="204"/>
      <c r="G210" s="204"/>
      <c r="H210" s="204"/>
      <c r="I210" s="204"/>
      <c r="J210" s="204"/>
      <c r="K210" s="204"/>
      <c r="L210" s="204"/>
      <c r="M210" s="204"/>
      <c r="N210" s="204"/>
    </row>
    <row r="211" spans="1:14" s="212" customFormat="1" x14ac:dyDescent="0.25">
      <c r="A211" s="204"/>
      <c r="B211" s="204"/>
      <c r="C211" s="204"/>
      <c r="D211" s="204"/>
      <c r="E211" s="204"/>
      <c r="F211" s="204"/>
      <c r="G211" s="204"/>
      <c r="H211" s="204"/>
      <c r="I211" s="204"/>
      <c r="J211" s="204"/>
      <c r="K211" s="204"/>
      <c r="L211" s="204"/>
      <c r="M211" s="204"/>
      <c r="N211" s="204"/>
    </row>
    <row r="212" spans="1:14" s="212" customFormat="1" x14ac:dyDescent="0.25">
      <c r="A212" s="204"/>
      <c r="B212" s="204"/>
      <c r="C212" s="204"/>
      <c r="D212" s="204"/>
      <c r="E212" s="204"/>
      <c r="F212" s="204"/>
      <c r="G212" s="204"/>
      <c r="H212" s="204"/>
      <c r="I212" s="204"/>
      <c r="J212" s="204"/>
      <c r="K212" s="204"/>
      <c r="L212" s="204"/>
      <c r="M212" s="204"/>
      <c r="N212" s="204"/>
    </row>
    <row r="213" spans="1:14" s="212" customFormat="1" x14ac:dyDescent="0.25">
      <c r="A213" s="213"/>
      <c r="B213" s="204"/>
      <c r="C213" s="204"/>
      <c r="D213" s="204"/>
      <c r="E213" s="204"/>
      <c r="F213" s="204"/>
      <c r="G213" s="204"/>
      <c r="H213" s="204"/>
      <c r="I213" s="204"/>
      <c r="J213" s="204"/>
      <c r="K213" s="204"/>
      <c r="L213" s="204"/>
      <c r="M213" s="204"/>
      <c r="N213" s="204"/>
    </row>
    <row r="214" spans="1:14" s="212" customFormat="1" x14ac:dyDescent="0.25">
      <c r="A214" s="204"/>
      <c r="B214" s="204"/>
      <c r="C214" s="204"/>
      <c r="D214" s="204"/>
      <c r="E214" s="204"/>
      <c r="F214" s="204"/>
      <c r="G214" s="204"/>
      <c r="H214" s="204"/>
      <c r="I214" s="204"/>
      <c r="J214" s="204"/>
      <c r="K214" s="204"/>
      <c r="L214" s="204"/>
      <c r="M214" s="204"/>
      <c r="N214" s="204"/>
    </row>
    <row r="215" spans="1:14" s="212" customFormat="1" x14ac:dyDescent="0.25">
      <c r="A215" s="204"/>
      <c r="B215" s="204"/>
      <c r="C215" s="204"/>
      <c r="D215" s="204"/>
      <c r="E215" s="204"/>
      <c r="F215" s="204"/>
      <c r="G215" s="204"/>
      <c r="H215" s="204"/>
      <c r="I215" s="204"/>
      <c r="J215" s="204"/>
      <c r="K215" s="204"/>
      <c r="L215" s="204"/>
      <c r="M215" s="204"/>
      <c r="N215" s="204"/>
    </row>
    <row r="216" spans="1:14" s="212" customFormat="1" x14ac:dyDescent="0.25">
      <c r="A216" s="204"/>
      <c r="B216" s="204"/>
      <c r="C216" s="204"/>
      <c r="D216" s="204"/>
      <c r="E216" s="204"/>
      <c r="F216" s="204"/>
      <c r="G216" s="204"/>
      <c r="H216" s="204"/>
      <c r="I216" s="204"/>
      <c r="J216" s="204"/>
      <c r="K216" s="204"/>
      <c r="L216" s="204"/>
      <c r="M216" s="204"/>
      <c r="N216" s="204"/>
    </row>
    <row r="217" spans="1:14" s="212" customFormat="1" x14ac:dyDescent="0.25">
      <c r="A217" s="204"/>
      <c r="B217" s="204"/>
      <c r="C217" s="204"/>
      <c r="D217" s="204"/>
      <c r="E217" s="204"/>
      <c r="F217" s="204"/>
      <c r="G217" s="204"/>
      <c r="H217" s="204"/>
      <c r="I217" s="204"/>
      <c r="J217" s="204"/>
      <c r="K217" s="204"/>
      <c r="L217" s="204"/>
      <c r="M217" s="204"/>
      <c r="N217" s="204"/>
    </row>
    <row r="218" spans="1:14" s="212" customFormat="1" x14ac:dyDescent="0.25">
      <c r="A218" s="204"/>
      <c r="B218" s="204"/>
      <c r="C218" s="204"/>
      <c r="D218" s="204"/>
      <c r="E218" s="204"/>
      <c r="F218" s="204"/>
      <c r="G218" s="204"/>
      <c r="H218" s="204"/>
      <c r="I218" s="204"/>
      <c r="J218" s="204"/>
      <c r="K218" s="204"/>
      <c r="L218" s="204"/>
      <c r="M218" s="204"/>
      <c r="N218" s="204"/>
    </row>
    <row r="219" spans="1:14" s="212" customFormat="1" x14ac:dyDescent="0.25">
      <c r="A219" s="204"/>
      <c r="B219" s="204"/>
      <c r="C219" s="204"/>
      <c r="D219" s="204"/>
      <c r="E219" s="204"/>
      <c r="F219" s="204"/>
      <c r="G219" s="204"/>
      <c r="H219" s="204"/>
      <c r="I219" s="204"/>
      <c r="J219" s="204"/>
      <c r="K219" s="204"/>
      <c r="L219" s="204"/>
      <c r="M219" s="204"/>
      <c r="N219" s="204"/>
    </row>
    <row r="220" spans="1:14" s="212" customFormat="1" x14ac:dyDescent="0.25">
      <c r="A220" s="204"/>
      <c r="B220" s="204"/>
      <c r="C220" s="204"/>
      <c r="D220" s="204"/>
      <c r="E220" s="204"/>
      <c r="F220" s="204"/>
      <c r="G220" s="204"/>
      <c r="H220" s="204"/>
      <c r="I220" s="204"/>
      <c r="J220" s="204"/>
      <c r="K220" s="204"/>
      <c r="L220" s="204"/>
      <c r="M220" s="204"/>
      <c r="N220" s="204"/>
    </row>
    <row r="221" spans="1:14" s="212" customFormat="1" x14ac:dyDescent="0.25">
      <c r="A221" s="204"/>
      <c r="B221" s="204"/>
      <c r="C221" s="204"/>
      <c r="D221" s="204"/>
      <c r="E221" s="204"/>
      <c r="F221" s="204"/>
      <c r="G221" s="204"/>
      <c r="H221" s="204"/>
      <c r="I221" s="204"/>
      <c r="J221" s="204"/>
      <c r="K221" s="204"/>
      <c r="L221" s="204"/>
      <c r="M221" s="204"/>
      <c r="N221" s="204"/>
    </row>
    <row r="222" spans="1:14" s="212" customFormat="1" x14ac:dyDescent="0.25">
      <c r="A222" s="204"/>
      <c r="B222" s="204"/>
      <c r="C222" s="204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</row>
    <row r="223" spans="1:14" s="212" customFormat="1" x14ac:dyDescent="0.25">
      <c r="A223" s="204"/>
      <c r="B223" s="204"/>
      <c r="C223" s="204"/>
      <c r="D223" s="204"/>
      <c r="E223" s="204"/>
      <c r="F223" s="204"/>
      <c r="G223" s="204"/>
      <c r="H223" s="204"/>
      <c r="I223" s="204"/>
      <c r="J223" s="204"/>
      <c r="K223" s="204"/>
      <c r="L223" s="204"/>
      <c r="M223" s="204"/>
      <c r="N223" s="204"/>
    </row>
    <row r="224" spans="1:14" s="212" customFormat="1" x14ac:dyDescent="0.25">
      <c r="A224" s="204"/>
      <c r="B224" s="204"/>
      <c r="C224" s="204"/>
      <c r="D224" s="204"/>
      <c r="E224" s="204"/>
      <c r="F224" s="204"/>
      <c r="G224" s="204"/>
      <c r="H224" s="204"/>
      <c r="I224" s="204"/>
      <c r="J224" s="204"/>
      <c r="K224" s="204"/>
      <c r="L224" s="204"/>
      <c r="M224" s="204"/>
      <c r="N224" s="204"/>
    </row>
    <row r="225" spans="1:14" s="212" customFormat="1" x14ac:dyDescent="0.25">
      <c r="A225" s="204"/>
      <c r="B225" s="204"/>
      <c r="C225" s="204"/>
      <c r="D225" s="204"/>
      <c r="E225" s="204"/>
      <c r="F225" s="204"/>
      <c r="G225" s="204"/>
      <c r="H225" s="204"/>
      <c r="I225" s="204"/>
      <c r="J225" s="204"/>
      <c r="K225" s="204"/>
      <c r="L225" s="204"/>
      <c r="M225" s="204"/>
      <c r="N225" s="204"/>
    </row>
    <row r="226" spans="1:14" s="212" customFormat="1" x14ac:dyDescent="0.25">
      <c r="A226" s="204"/>
      <c r="B226" s="204"/>
      <c r="C226" s="204"/>
      <c r="D226" s="204"/>
      <c r="E226" s="204"/>
      <c r="F226" s="204"/>
      <c r="G226" s="204"/>
      <c r="H226" s="204"/>
      <c r="I226" s="204"/>
      <c r="J226" s="204"/>
      <c r="K226" s="204"/>
      <c r="L226" s="204"/>
      <c r="M226" s="204"/>
      <c r="N226" s="204"/>
    </row>
    <row r="227" spans="1:14" s="212" customFormat="1" x14ac:dyDescent="0.25">
      <c r="A227" s="204"/>
      <c r="B227" s="204"/>
      <c r="C227" s="204"/>
      <c r="D227" s="204"/>
      <c r="E227" s="204"/>
      <c r="F227" s="204"/>
      <c r="G227" s="204"/>
      <c r="H227" s="204"/>
      <c r="I227" s="204"/>
      <c r="J227" s="204"/>
      <c r="K227" s="204"/>
      <c r="L227" s="204"/>
      <c r="M227" s="204"/>
      <c r="N227" s="204"/>
    </row>
    <row r="228" spans="1:14" s="212" customFormat="1" x14ac:dyDescent="0.25">
      <c r="A228" s="204"/>
      <c r="B228" s="204"/>
      <c r="C228" s="204"/>
      <c r="D228" s="204"/>
      <c r="E228" s="204"/>
      <c r="F228" s="204"/>
      <c r="G228" s="204"/>
      <c r="H228" s="204"/>
      <c r="I228" s="204"/>
      <c r="J228" s="204"/>
      <c r="K228" s="204"/>
      <c r="L228" s="204"/>
      <c r="M228" s="204"/>
      <c r="N228" s="204"/>
    </row>
    <row r="229" spans="1:14" s="212" customFormat="1" x14ac:dyDescent="0.25">
      <c r="A229" s="204"/>
      <c r="B229" s="204"/>
      <c r="C229" s="204"/>
      <c r="D229" s="204"/>
      <c r="E229" s="204"/>
      <c r="F229" s="204"/>
      <c r="G229" s="204"/>
      <c r="H229" s="204"/>
      <c r="I229" s="204"/>
      <c r="J229" s="204"/>
      <c r="K229" s="204"/>
      <c r="L229" s="204"/>
      <c r="M229" s="204"/>
      <c r="N229" s="204"/>
    </row>
    <row r="230" spans="1:14" s="212" customFormat="1" x14ac:dyDescent="0.25">
      <c r="A230" s="204"/>
      <c r="B230" s="204"/>
      <c r="C230" s="204"/>
      <c r="D230" s="204"/>
      <c r="E230" s="204"/>
      <c r="F230" s="204"/>
      <c r="G230" s="204"/>
      <c r="H230" s="204"/>
      <c r="I230" s="204"/>
      <c r="J230" s="204"/>
      <c r="K230" s="204"/>
      <c r="L230" s="204"/>
      <c r="M230" s="204"/>
      <c r="N230" s="204"/>
    </row>
    <row r="231" spans="1:14" s="212" customFormat="1" x14ac:dyDescent="0.25">
      <c r="A231" s="204"/>
      <c r="B231" s="204"/>
      <c r="C231" s="204"/>
      <c r="D231" s="204"/>
      <c r="E231" s="204"/>
      <c r="F231" s="204"/>
      <c r="G231" s="204"/>
      <c r="H231" s="204"/>
      <c r="I231" s="204"/>
      <c r="J231" s="204"/>
      <c r="K231" s="204"/>
      <c r="L231" s="204"/>
      <c r="M231" s="204"/>
      <c r="N231" s="204"/>
    </row>
    <row r="232" spans="1:14" s="212" customFormat="1" x14ac:dyDescent="0.25">
      <c r="A232" s="204"/>
      <c r="B232" s="204"/>
      <c r="C232" s="204"/>
      <c r="D232" s="204"/>
      <c r="E232" s="204"/>
      <c r="F232" s="204"/>
      <c r="G232" s="204"/>
      <c r="H232" s="204"/>
      <c r="I232" s="204"/>
      <c r="J232" s="204"/>
      <c r="K232" s="204"/>
      <c r="L232" s="204"/>
      <c r="M232" s="204"/>
      <c r="N232" s="204"/>
    </row>
    <row r="233" spans="1:14" s="212" customFormat="1" x14ac:dyDescent="0.25">
      <c r="A233" s="204"/>
      <c r="B233" s="204"/>
      <c r="C233" s="204"/>
      <c r="D233" s="204"/>
      <c r="E233" s="204"/>
      <c r="F233" s="204"/>
      <c r="G233" s="204"/>
      <c r="H233" s="204"/>
      <c r="I233" s="204"/>
      <c r="J233" s="204"/>
      <c r="K233" s="204"/>
      <c r="L233" s="204"/>
      <c r="M233" s="204"/>
      <c r="N233" s="204"/>
    </row>
    <row r="234" spans="1:14" s="212" customFormat="1" x14ac:dyDescent="0.25">
      <c r="A234" s="204"/>
      <c r="B234" s="204"/>
      <c r="C234" s="204"/>
      <c r="D234" s="204"/>
      <c r="E234" s="204"/>
      <c r="F234" s="204"/>
      <c r="G234" s="204"/>
      <c r="H234" s="204"/>
      <c r="I234" s="204"/>
      <c r="J234" s="204"/>
      <c r="K234" s="204"/>
      <c r="L234" s="204"/>
      <c r="M234" s="204"/>
      <c r="N234" s="204"/>
    </row>
    <row r="235" spans="1:14" s="212" customFormat="1" x14ac:dyDescent="0.25">
      <c r="A235" s="204"/>
      <c r="B235" s="204"/>
      <c r="C235" s="204"/>
      <c r="D235" s="204"/>
      <c r="E235" s="204"/>
      <c r="F235" s="204"/>
      <c r="G235" s="204"/>
      <c r="H235" s="204"/>
      <c r="I235" s="204"/>
      <c r="J235" s="204"/>
      <c r="K235" s="204"/>
      <c r="L235" s="204"/>
      <c r="M235" s="204"/>
      <c r="N235" s="204"/>
    </row>
    <row r="236" spans="1:14" s="212" customFormat="1" x14ac:dyDescent="0.25">
      <c r="A236" s="204"/>
      <c r="B236" s="204"/>
      <c r="C236" s="204"/>
      <c r="D236" s="204"/>
      <c r="E236" s="204"/>
      <c r="F236" s="204"/>
      <c r="G236" s="204"/>
      <c r="H236" s="204"/>
      <c r="I236" s="204"/>
      <c r="J236" s="204"/>
      <c r="K236" s="204"/>
      <c r="L236" s="204"/>
      <c r="M236" s="204"/>
      <c r="N236" s="204"/>
    </row>
    <row r="237" spans="1:14" s="212" customFormat="1" x14ac:dyDescent="0.25">
      <c r="A237" s="204"/>
      <c r="B237" s="204"/>
      <c r="C237" s="204"/>
      <c r="D237" s="204"/>
      <c r="E237" s="204"/>
      <c r="F237" s="204"/>
      <c r="G237" s="204"/>
      <c r="H237" s="204"/>
      <c r="I237" s="204"/>
      <c r="J237" s="204"/>
      <c r="K237" s="204"/>
      <c r="L237" s="204"/>
      <c r="M237" s="204"/>
      <c r="N237" s="204"/>
    </row>
    <row r="238" spans="1:14" s="212" customFormat="1" x14ac:dyDescent="0.25">
      <c r="A238" s="204"/>
      <c r="B238" s="204"/>
      <c r="C238" s="204"/>
      <c r="D238" s="204"/>
      <c r="E238" s="204"/>
      <c r="F238" s="204"/>
      <c r="G238" s="204"/>
      <c r="H238" s="204"/>
      <c r="I238" s="204"/>
      <c r="J238" s="204"/>
      <c r="K238" s="204"/>
      <c r="L238" s="204"/>
      <c r="M238" s="204"/>
      <c r="N238" s="204"/>
    </row>
    <row r="239" spans="1:14" s="212" customFormat="1" x14ac:dyDescent="0.25">
      <c r="A239" s="204"/>
      <c r="B239" s="204"/>
      <c r="C239" s="204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</row>
    <row r="240" spans="1:14" s="212" customFormat="1" x14ac:dyDescent="0.25">
      <c r="A240" s="204"/>
      <c r="B240" s="204"/>
      <c r="C240" s="204"/>
      <c r="D240" s="204"/>
      <c r="E240" s="204"/>
      <c r="F240" s="204"/>
      <c r="G240" s="204"/>
      <c r="H240" s="204"/>
      <c r="I240" s="204"/>
      <c r="J240" s="204"/>
      <c r="K240" s="204"/>
      <c r="L240" s="204"/>
      <c r="M240" s="204"/>
      <c r="N240" s="204"/>
    </row>
    <row r="241" spans="1:14" s="212" customFormat="1" x14ac:dyDescent="0.25">
      <c r="A241" s="204"/>
      <c r="B241" s="204"/>
      <c r="C241" s="204"/>
      <c r="D241" s="204"/>
      <c r="E241" s="204"/>
      <c r="F241" s="204"/>
      <c r="G241" s="204"/>
      <c r="H241" s="204"/>
      <c r="I241" s="204"/>
      <c r="J241" s="204"/>
      <c r="K241" s="204"/>
      <c r="L241" s="204"/>
      <c r="M241" s="204"/>
      <c r="N241" s="204"/>
    </row>
    <row r="242" spans="1:14" s="212" customFormat="1" x14ac:dyDescent="0.25">
      <c r="A242" s="204"/>
      <c r="B242" s="204"/>
      <c r="C242" s="204"/>
      <c r="D242" s="204"/>
      <c r="E242" s="204"/>
      <c r="F242" s="204"/>
      <c r="G242" s="204"/>
      <c r="H242" s="204"/>
      <c r="I242" s="204"/>
      <c r="J242" s="204"/>
      <c r="K242" s="204"/>
      <c r="L242" s="204"/>
      <c r="M242" s="204"/>
      <c r="N242" s="204"/>
    </row>
    <row r="243" spans="1:14" s="212" customFormat="1" x14ac:dyDescent="0.25">
      <c r="A243" s="204"/>
      <c r="B243" s="204"/>
      <c r="C243" s="204"/>
      <c r="D243" s="204"/>
      <c r="E243" s="204"/>
      <c r="F243" s="204"/>
      <c r="G243" s="204"/>
      <c r="H243" s="204"/>
      <c r="I243" s="204"/>
      <c r="J243" s="204"/>
      <c r="K243" s="204"/>
      <c r="L243" s="204"/>
      <c r="M243" s="204"/>
      <c r="N243" s="204"/>
    </row>
    <row r="244" spans="1:14" s="212" customFormat="1" x14ac:dyDescent="0.25">
      <c r="A244" s="204"/>
      <c r="B244" s="204"/>
      <c r="C244" s="204"/>
      <c r="D244" s="204"/>
      <c r="E244" s="204"/>
      <c r="F244" s="204"/>
      <c r="G244" s="204"/>
      <c r="H244" s="204"/>
      <c r="I244" s="204"/>
      <c r="J244" s="204"/>
      <c r="K244" s="204"/>
      <c r="L244" s="204"/>
      <c r="M244" s="204"/>
      <c r="N244" s="204"/>
    </row>
    <row r="245" spans="1:14" s="212" customFormat="1" x14ac:dyDescent="0.25">
      <c r="A245" s="204"/>
      <c r="B245" s="204"/>
      <c r="C245" s="204"/>
      <c r="D245" s="204"/>
      <c r="E245" s="204"/>
      <c r="F245" s="204"/>
      <c r="G245" s="204"/>
      <c r="H245" s="204"/>
      <c r="I245" s="204"/>
      <c r="J245" s="204"/>
      <c r="K245" s="204"/>
      <c r="L245" s="204"/>
      <c r="M245" s="204"/>
      <c r="N245" s="204"/>
    </row>
    <row r="246" spans="1:14" s="212" customFormat="1" x14ac:dyDescent="0.25">
      <c r="A246" s="204"/>
      <c r="B246" s="204"/>
      <c r="C246" s="204"/>
      <c r="D246" s="204"/>
      <c r="E246" s="204"/>
      <c r="F246" s="204"/>
      <c r="G246" s="204"/>
      <c r="H246" s="204"/>
      <c r="I246" s="204"/>
      <c r="J246" s="204"/>
      <c r="K246" s="204"/>
      <c r="L246" s="204"/>
      <c r="M246" s="204"/>
      <c r="N246" s="204"/>
    </row>
    <row r="247" spans="1:14" s="212" customFormat="1" x14ac:dyDescent="0.25">
      <c r="A247" s="204"/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</row>
    <row r="248" spans="1:14" s="212" customFormat="1" x14ac:dyDescent="0.25">
      <c r="A248" s="204"/>
      <c r="B248" s="204"/>
      <c r="C248" s="204"/>
      <c r="D248" s="204"/>
      <c r="E248" s="204"/>
      <c r="F248" s="204"/>
      <c r="G248" s="204"/>
      <c r="H248" s="204"/>
      <c r="I248" s="204"/>
      <c r="J248" s="204"/>
      <c r="K248" s="204"/>
      <c r="L248" s="204"/>
      <c r="M248" s="204"/>
      <c r="N248" s="204"/>
    </row>
    <row r="249" spans="1:14" s="212" customFormat="1" x14ac:dyDescent="0.25">
      <c r="A249" s="204"/>
      <c r="B249" s="204"/>
      <c r="C249" s="204"/>
      <c r="D249" s="204"/>
      <c r="E249" s="204"/>
      <c r="F249" s="204"/>
      <c r="G249" s="204"/>
      <c r="H249" s="204"/>
      <c r="I249" s="204"/>
      <c r="J249" s="204"/>
      <c r="K249" s="204"/>
      <c r="L249" s="204"/>
      <c r="M249" s="204"/>
      <c r="N249" s="204"/>
    </row>
    <row r="250" spans="1:14" s="212" customFormat="1" x14ac:dyDescent="0.25">
      <c r="A250" s="204"/>
      <c r="B250" s="204"/>
      <c r="C250" s="204"/>
      <c r="D250" s="204"/>
      <c r="E250" s="204"/>
      <c r="F250" s="204"/>
      <c r="G250" s="204"/>
      <c r="H250" s="204"/>
      <c r="I250" s="204"/>
      <c r="J250" s="204"/>
      <c r="K250" s="204"/>
      <c r="L250" s="204"/>
      <c r="M250" s="204"/>
      <c r="N250" s="204"/>
    </row>
    <row r="251" spans="1:14" s="212" customFormat="1" x14ac:dyDescent="0.25">
      <c r="A251" s="204"/>
      <c r="B251" s="204"/>
      <c r="C251" s="204"/>
      <c r="D251" s="204"/>
      <c r="E251" s="204"/>
      <c r="F251" s="204"/>
      <c r="G251" s="204"/>
      <c r="H251" s="204"/>
      <c r="I251" s="204"/>
      <c r="J251" s="204"/>
      <c r="K251" s="204"/>
      <c r="L251" s="204"/>
      <c r="M251" s="204"/>
      <c r="N251" s="204"/>
    </row>
    <row r="252" spans="1:14" s="212" customFormat="1" x14ac:dyDescent="0.25">
      <c r="A252" s="204"/>
      <c r="B252" s="204"/>
      <c r="C252" s="204"/>
      <c r="D252" s="204"/>
      <c r="E252" s="204"/>
      <c r="F252" s="204"/>
      <c r="G252" s="204"/>
      <c r="H252" s="204"/>
      <c r="I252" s="204"/>
      <c r="J252" s="204"/>
      <c r="K252" s="204"/>
      <c r="L252" s="204"/>
      <c r="M252" s="204"/>
      <c r="N252" s="204"/>
    </row>
    <row r="253" spans="1:14" s="212" customFormat="1" x14ac:dyDescent="0.25">
      <c r="A253" s="204"/>
      <c r="B253" s="204"/>
      <c r="C253" s="204"/>
      <c r="D253" s="204"/>
      <c r="E253" s="204"/>
      <c r="F253" s="204"/>
      <c r="G253" s="204"/>
      <c r="H253" s="204"/>
      <c r="I253" s="204"/>
      <c r="J253" s="204"/>
      <c r="K253" s="204"/>
      <c r="L253" s="204"/>
      <c r="M253" s="204"/>
      <c r="N253" s="204"/>
    </row>
    <row r="254" spans="1:14" s="212" customFormat="1" x14ac:dyDescent="0.25">
      <c r="A254" s="204"/>
      <c r="B254" s="204"/>
      <c r="C254" s="204"/>
      <c r="D254" s="204"/>
      <c r="E254" s="204"/>
      <c r="F254" s="204"/>
      <c r="G254" s="204"/>
      <c r="H254" s="204"/>
      <c r="I254" s="204"/>
      <c r="J254" s="204"/>
      <c r="K254" s="204"/>
      <c r="L254" s="204"/>
      <c r="M254" s="204"/>
      <c r="N254" s="204"/>
    </row>
    <row r="255" spans="1:14" s="212" customFormat="1" x14ac:dyDescent="0.25">
      <c r="A255" s="204"/>
      <c r="B255" s="204"/>
      <c r="C255" s="204"/>
      <c r="D255" s="204"/>
      <c r="E255" s="204"/>
      <c r="F255" s="204"/>
      <c r="G255" s="204"/>
      <c r="H255" s="204"/>
      <c r="I255" s="204"/>
      <c r="J255" s="204"/>
      <c r="K255" s="204"/>
      <c r="L255" s="204"/>
      <c r="M255" s="204"/>
      <c r="N255" s="204"/>
    </row>
    <row r="256" spans="1:14" s="212" customFormat="1" x14ac:dyDescent="0.25">
      <c r="A256" s="204"/>
      <c r="B256" s="204"/>
      <c r="C256" s="204"/>
      <c r="D256" s="204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</row>
    <row r="257" spans="1:14" s="212" customFormat="1" x14ac:dyDescent="0.25">
      <c r="A257" s="204"/>
      <c r="B257" s="204"/>
      <c r="C257" s="204"/>
      <c r="D257" s="204"/>
      <c r="E257" s="204"/>
      <c r="F257" s="204"/>
      <c r="G257" s="204"/>
      <c r="H257" s="204"/>
      <c r="I257" s="204"/>
      <c r="J257" s="204"/>
      <c r="K257" s="204"/>
      <c r="L257" s="204"/>
      <c r="M257" s="204"/>
      <c r="N257" s="204"/>
    </row>
    <row r="258" spans="1:14" s="212" customFormat="1" x14ac:dyDescent="0.25">
      <c r="A258" s="204"/>
      <c r="B258" s="204"/>
      <c r="C258" s="204"/>
      <c r="D258" s="204"/>
      <c r="E258" s="204"/>
      <c r="F258" s="204"/>
      <c r="G258" s="204"/>
      <c r="H258" s="204"/>
      <c r="I258" s="204"/>
      <c r="J258" s="204"/>
      <c r="K258" s="204"/>
      <c r="L258" s="204"/>
      <c r="M258" s="204"/>
      <c r="N258" s="204"/>
    </row>
    <row r="259" spans="1:14" s="212" customFormat="1" x14ac:dyDescent="0.25">
      <c r="A259" s="204"/>
      <c r="B259" s="204"/>
      <c r="C259" s="204"/>
      <c r="D259" s="204"/>
      <c r="E259" s="204"/>
      <c r="F259" s="204"/>
      <c r="G259" s="204"/>
      <c r="H259" s="204"/>
      <c r="I259" s="204"/>
      <c r="J259" s="204"/>
      <c r="K259" s="204"/>
      <c r="L259" s="204"/>
      <c r="M259" s="204"/>
      <c r="N259" s="204"/>
    </row>
    <row r="260" spans="1:14" s="212" customFormat="1" x14ac:dyDescent="0.25">
      <c r="A260" s="204"/>
      <c r="B260" s="204"/>
      <c r="C260" s="204"/>
      <c r="D260" s="204"/>
      <c r="E260" s="204"/>
      <c r="F260" s="204"/>
      <c r="G260" s="204"/>
      <c r="H260" s="204"/>
      <c r="I260" s="204"/>
      <c r="J260" s="204"/>
      <c r="K260" s="204"/>
      <c r="L260" s="204"/>
      <c r="M260" s="204"/>
      <c r="N260" s="204"/>
    </row>
    <row r="261" spans="1:14" s="212" customFormat="1" x14ac:dyDescent="0.25">
      <c r="A261" s="204"/>
      <c r="B261" s="204"/>
      <c r="C261" s="204"/>
      <c r="D261" s="204"/>
      <c r="E261" s="204"/>
      <c r="F261" s="204"/>
      <c r="G261" s="204"/>
      <c r="H261" s="204"/>
      <c r="I261" s="204"/>
      <c r="J261" s="204"/>
      <c r="K261" s="204"/>
      <c r="L261" s="204"/>
      <c r="M261" s="204"/>
      <c r="N261" s="204"/>
    </row>
    <row r="262" spans="1:14" s="212" customFormat="1" x14ac:dyDescent="0.25">
      <c r="A262" s="204"/>
      <c r="B262" s="204"/>
      <c r="C262" s="204"/>
      <c r="D262" s="204"/>
      <c r="E262" s="204"/>
      <c r="F262" s="204"/>
      <c r="G262" s="204"/>
      <c r="H262" s="204"/>
      <c r="I262" s="204"/>
      <c r="J262" s="204"/>
      <c r="K262" s="204"/>
      <c r="L262" s="204"/>
      <c r="M262" s="204"/>
      <c r="N262" s="204"/>
    </row>
    <row r="263" spans="1:14" s="212" customFormat="1" x14ac:dyDescent="0.25">
      <c r="A263" s="204"/>
      <c r="B263" s="204"/>
      <c r="C263" s="204"/>
      <c r="D263" s="204"/>
      <c r="E263" s="204"/>
      <c r="F263" s="204"/>
      <c r="G263" s="204"/>
      <c r="H263" s="204"/>
      <c r="I263" s="204"/>
      <c r="J263" s="204"/>
      <c r="K263" s="204"/>
      <c r="L263" s="204"/>
      <c r="M263" s="204"/>
      <c r="N263" s="204"/>
    </row>
    <row r="264" spans="1:14" s="212" customFormat="1" x14ac:dyDescent="0.25">
      <c r="A264" s="204"/>
      <c r="B264" s="204"/>
      <c r="C264" s="204"/>
      <c r="D264" s="204"/>
      <c r="E264" s="204"/>
      <c r="F264" s="204"/>
      <c r="G264" s="204"/>
      <c r="H264" s="204"/>
      <c r="I264" s="204"/>
      <c r="J264" s="204"/>
      <c r="K264" s="204"/>
      <c r="L264" s="204"/>
      <c r="M264" s="204"/>
      <c r="N264" s="204"/>
    </row>
    <row r="265" spans="1:14" s="212" customFormat="1" x14ac:dyDescent="0.25">
      <c r="A265" s="204"/>
      <c r="B265" s="204"/>
      <c r="C265" s="204"/>
      <c r="D265" s="204"/>
      <c r="E265" s="204"/>
      <c r="F265" s="204"/>
      <c r="G265" s="204"/>
      <c r="H265" s="204"/>
      <c r="I265" s="204"/>
      <c r="J265" s="204"/>
      <c r="K265" s="204"/>
      <c r="L265" s="204"/>
      <c r="M265" s="204"/>
      <c r="N265" s="204"/>
    </row>
    <row r="266" spans="1:14" s="212" customFormat="1" x14ac:dyDescent="0.25">
      <c r="A266" s="204"/>
      <c r="B266" s="204"/>
      <c r="C266" s="204"/>
      <c r="D266" s="204"/>
      <c r="E266" s="204"/>
      <c r="F266" s="204"/>
      <c r="G266" s="204"/>
      <c r="H266" s="204"/>
      <c r="I266" s="204"/>
      <c r="J266" s="204"/>
      <c r="K266" s="204"/>
      <c r="L266" s="204"/>
      <c r="M266" s="204"/>
      <c r="N266" s="204"/>
    </row>
    <row r="267" spans="1:14" s="212" customFormat="1" x14ac:dyDescent="0.25">
      <c r="A267" s="204"/>
      <c r="B267" s="204"/>
      <c r="C267" s="204"/>
      <c r="D267" s="204"/>
      <c r="E267" s="204"/>
      <c r="F267" s="204"/>
      <c r="G267" s="204"/>
      <c r="H267" s="204"/>
      <c r="I267" s="204"/>
      <c r="J267" s="204"/>
      <c r="K267" s="204"/>
      <c r="L267" s="204"/>
      <c r="M267" s="204"/>
      <c r="N267" s="204"/>
    </row>
    <row r="268" spans="1:14" s="212" customFormat="1" x14ac:dyDescent="0.25">
      <c r="A268" s="204"/>
      <c r="B268" s="204"/>
      <c r="C268" s="204"/>
      <c r="D268" s="204"/>
      <c r="E268" s="204"/>
      <c r="F268" s="204"/>
      <c r="G268" s="204"/>
      <c r="H268" s="204"/>
      <c r="I268" s="204"/>
      <c r="J268" s="204"/>
      <c r="K268" s="204"/>
      <c r="L268" s="204"/>
      <c r="M268" s="204"/>
      <c r="N268" s="204"/>
    </row>
    <row r="269" spans="1:14" s="212" customFormat="1" x14ac:dyDescent="0.25">
      <c r="A269" s="204"/>
      <c r="B269" s="204"/>
      <c r="C269" s="204"/>
      <c r="D269" s="204"/>
      <c r="E269" s="204"/>
      <c r="F269" s="204"/>
      <c r="G269" s="204"/>
      <c r="H269" s="204"/>
      <c r="I269" s="204"/>
      <c r="J269" s="204"/>
      <c r="K269" s="204"/>
      <c r="L269" s="204"/>
      <c r="M269" s="204"/>
      <c r="N269" s="204"/>
    </row>
    <row r="270" spans="1:14" s="212" customFormat="1" x14ac:dyDescent="0.25">
      <c r="A270" s="204"/>
      <c r="B270" s="204"/>
      <c r="C270" s="204"/>
      <c r="D270" s="204"/>
      <c r="E270" s="204"/>
      <c r="F270" s="204"/>
      <c r="G270" s="204"/>
      <c r="H270" s="204"/>
      <c r="I270" s="204"/>
      <c r="J270" s="204"/>
      <c r="K270" s="204"/>
      <c r="L270" s="204"/>
      <c r="M270" s="204"/>
      <c r="N270" s="204"/>
    </row>
    <row r="271" spans="1:14" s="212" customFormat="1" x14ac:dyDescent="0.25">
      <c r="A271" s="204"/>
      <c r="B271" s="204"/>
      <c r="C271" s="204"/>
      <c r="D271" s="204"/>
      <c r="E271" s="204"/>
      <c r="F271" s="204"/>
      <c r="G271" s="204"/>
      <c r="H271" s="204"/>
      <c r="I271" s="204"/>
      <c r="J271" s="204"/>
      <c r="K271" s="204"/>
      <c r="L271" s="204"/>
      <c r="M271" s="204"/>
      <c r="N271" s="204"/>
    </row>
    <row r="272" spans="1:14" s="212" customFormat="1" x14ac:dyDescent="0.25">
      <c r="A272" s="204"/>
      <c r="B272" s="204"/>
      <c r="C272" s="204"/>
      <c r="D272" s="204"/>
      <c r="E272" s="204"/>
      <c r="F272" s="204"/>
      <c r="G272" s="204"/>
      <c r="H272" s="204"/>
      <c r="I272" s="204"/>
      <c r="J272" s="204"/>
      <c r="K272" s="204"/>
      <c r="L272" s="204"/>
      <c r="M272" s="204"/>
      <c r="N272" s="204"/>
    </row>
    <row r="273" spans="1:14" s="212" customFormat="1" x14ac:dyDescent="0.25">
      <c r="A273" s="204"/>
      <c r="B273" s="204"/>
      <c r="C273" s="204"/>
      <c r="D273" s="204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</row>
    <row r="274" spans="1:14" s="212" customFormat="1" x14ac:dyDescent="0.25">
      <c r="A274" s="204"/>
      <c r="B274" s="204"/>
      <c r="C274" s="204"/>
      <c r="D274" s="204"/>
      <c r="E274" s="204"/>
      <c r="F274" s="204"/>
      <c r="G274" s="204"/>
      <c r="H274" s="204"/>
      <c r="I274" s="204"/>
      <c r="J274" s="204"/>
      <c r="K274" s="204"/>
      <c r="L274" s="204"/>
      <c r="M274" s="204"/>
      <c r="N274" s="204"/>
    </row>
    <row r="275" spans="1:14" s="212" customFormat="1" x14ac:dyDescent="0.25">
      <c r="A275" s="204"/>
      <c r="B275" s="204"/>
      <c r="C275" s="204"/>
      <c r="D275" s="204"/>
      <c r="E275" s="204"/>
      <c r="F275" s="204"/>
      <c r="G275" s="204"/>
      <c r="H275" s="204"/>
      <c r="I275" s="204"/>
      <c r="J275" s="204"/>
      <c r="K275" s="204"/>
      <c r="L275" s="204"/>
      <c r="M275" s="204"/>
      <c r="N275" s="204"/>
    </row>
    <row r="276" spans="1:14" s="212" customFormat="1" x14ac:dyDescent="0.25">
      <c r="A276" s="204"/>
      <c r="B276" s="204"/>
      <c r="C276" s="204"/>
      <c r="D276" s="204"/>
      <c r="E276" s="204"/>
      <c r="F276" s="204"/>
      <c r="G276" s="204"/>
      <c r="H276" s="204"/>
      <c r="I276" s="204"/>
      <c r="J276" s="204"/>
      <c r="K276" s="204"/>
      <c r="L276" s="204"/>
      <c r="M276" s="204"/>
      <c r="N276" s="204"/>
    </row>
    <row r="277" spans="1:14" s="212" customFormat="1" x14ac:dyDescent="0.25">
      <c r="A277" s="204"/>
      <c r="B277" s="204"/>
      <c r="C277" s="204"/>
      <c r="D277" s="204"/>
      <c r="E277" s="204"/>
      <c r="F277" s="204"/>
      <c r="G277" s="204"/>
      <c r="H277" s="204"/>
      <c r="I277" s="204"/>
      <c r="J277" s="204"/>
      <c r="K277" s="204"/>
      <c r="L277" s="204"/>
      <c r="M277" s="204"/>
      <c r="N277" s="204"/>
    </row>
    <row r="278" spans="1:14" s="212" customFormat="1" x14ac:dyDescent="0.25">
      <c r="A278" s="204"/>
      <c r="B278" s="204"/>
      <c r="C278" s="204"/>
      <c r="D278" s="204"/>
      <c r="E278" s="204"/>
      <c r="F278" s="204"/>
      <c r="G278" s="204"/>
      <c r="H278" s="204"/>
      <c r="I278" s="204"/>
      <c r="J278" s="204"/>
      <c r="K278" s="204"/>
      <c r="L278" s="204"/>
      <c r="M278" s="204"/>
      <c r="N278" s="204"/>
    </row>
    <row r="279" spans="1:14" s="212" customFormat="1" x14ac:dyDescent="0.25">
      <c r="A279" s="204"/>
      <c r="B279" s="204"/>
      <c r="C279" s="204"/>
      <c r="D279" s="204"/>
      <c r="E279" s="204"/>
      <c r="F279" s="204"/>
      <c r="G279" s="204"/>
      <c r="H279" s="204"/>
      <c r="I279" s="204"/>
      <c r="J279" s="204"/>
      <c r="K279" s="204"/>
      <c r="L279" s="204"/>
      <c r="M279" s="204"/>
      <c r="N279" s="204"/>
    </row>
    <row r="280" spans="1:14" s="212" customFormat="1" x14ac:dyDescent="0.25">
      <c r="A280" s="204"/>
      <c r="B280" s="204"/>
      <c r="C280" s="204"/>
      <c r="D280" s="204"/>
      <c r="E280" s="204"/>
      <c r="F280" s="204"/>
      <c r="G280" s="204"/>
      <c r="H280" s="204"/>
      <c r="I280" s="204"/>
      <c r="J280" s="204"/>
      <c r="K280" s="204"/>
      <c r="L280" s="204"/>
      <c r="M280" s="204"/>
      <c r="N280" s="204"/>
    </row>
    <row r="281" spans="1:14" s="212" customFormat="1" x14ac:dyDescent="0.25">
      <c r="A281" s="204"/>
      <c r="B281" s="204"/>
      <c r="C281" s="204"/>
      <c r="D281" s="204"/>
      <c r="E281" s="204"/>
      <c r="F281" s="204"/>
      <c r="G281" s="204"/>
      <c r="H281" s="204"/>
      <c r="I281" s="204"/>
      <c r="J281" s="204"/>
      <c r="K281" s="204"/>
      <c r="L281" s="204"/>
      <c r="M281" s="204"/>
      <c r="N281" s="204"/>
    </row>
    <row r="282" spans="1:14" s="212" customFormat="1" x14ac:dyDescent="0.25">
      <c r="A282" s="204"/>
      <c r="B282" s="204"/>
      <c r="C282" s="204"/>
      <c r="D282" s="204"/>
      <c r="E282" s="204"/>
      <c r="F282" s="204"/>
      <c r="G282" s="204"/>
      <c r="H282" s="204"/>
      <c r="I282" s="204"/>
      <c r="J282" s="204"/>
      <c r="K282" s="204"/>
      <c r="L282" s="204"/>
      <c r="M282" s="204"/>
      <c r="N282" s="204"/>
    </row>
    <row r="283" spans="1:14" s="212" customFormat="1" x14ac:dyDescent="0.25">
      <c r="A283" s="204"/>
      <c r="B283" s="204"/>
      <c r="C283" s="204"/>
      <c r="D283" s="204"/>
      <c r="E283" s="204"/>
      <c r="F283" s="204"/>
      <c r="G283" s="204"/>
      <c r="H283" s="204"/>
      <c r="I283" s="204"/>
      <c r="J283" s="204"/>
      <c r="K283" s="204"/>
      <c r="L283" s="204"/>
      <c r="M283" s="204"/>
      <c r="N283" s="204"/>
    </row>
    <row r="284" spans="1:14" s="212" customFormat="1" x14ac:dyDescent="0.25">
      <c r="A284" s="204"/>
      <c r="B284" s="204"/>
      <c r="C284" s="204"/>
      <c r="D284" s="204"/>
      <c r="E284" s="204"/>
      <c r="F284" s="204"/>
      <c r="G284" s="204"/>
      <c r="H284" s="204"/>
      <c r="I284" s="204"/>
      <c r="J284" s="204"/>
      <c r="K284" s="204"/>
      <c r="L284" s="204"/>
      <c r="M284" s="204"/>
      <c r="N284" s="204"/>
    </row>
    <row r="285" spans="1:14" s="212" customFormat="1" x14ac:dyDescent="0.25">
      <c r="A285" s="204"/>
      <c r="B285" s="204"/>
      <c r="C285" s="204"/>
      <c r="D285" s="204"/>
      <c r="E285" s="204"/>
      <c r="F285" s="204"/>
      <c r="G285" s="204"/>
      <c r="H285" s="204"/>
      <c r="I285" s="204"/>
      <c r="J285" s="204"/>
      <c r="K285" s="204"/>
      <c r="L285" s="204"/>
      <c r="M285" s="204"/>
      <c r="N285" s="204"/>
    </row>
    <row r="286" spans="1:14" s="212" customFormat="1" x14ac:dyDescent="0.25">
      <c r="A286" s="204"/>
      <c r="B286" s="204"/>
      <c r="C286" s="204"/>
      <c r="D286" s="204"/>
      <c r="E286" s="204"/>
      <c r="F286" s="204"/>
      <c r="G286" s="204"/>
      <c r="H286" s="204"/>
      <c r="I286" s="204"/>
    </row>
    <row r="287" spans="1:14" s="212" customFormat="1" x14ac:dyDescent="0.25"/>
    <row r="288" spans="1:14" s="212" customFormat="1" x14ac:dyDescent="0.25"/>
    <row r="289" spans="10:17" s="212" customFormat="1" x14ac:dyDescent="0.25"/>
    <row r="290" spans="10:17" s="212" customFormat="1" x14ac:dyDescent="0.25"/>
    <row r="291" spans="10:17" s="212" customFormat="1" x14ac:dyDescent="0.25"/>
    <row r="292" spans="10:17" s="212" customFormat="1" x14ac:dyDescent="0.25"/>
    <row r="293" spans="10:17" s="212" customFormat="1" x14ac:dyDescent="0.25"/>
    <row r="294" spans="10:17" s="212" customFormat="1" x14ac:dyDescent="0.25"/>
    <row r="295" spans="10:17" s="212" customFormat="1" x14ac:dyDescent="0.25"/>
    <row r="296" spans="10:17" s="212" customFormat="1" x14ac:dyDescent="0.25"/>
    <row r="297" spans="10:17" s="212" customFormat="1" x14ac:dyDescent="0.25"/>
    <row r="298" spans="10:17" s="212" customFormat="1" x14ac:dyDescent="0.25">
      <c r="J298" s="325"/>
      <c r="K298" s="325"/>
      <c r="L298" s="325"/>
      <c r="M298" s="325"/>
      <c r="N298" s="325"/>
      <c r="O298" s="325"/>
      <c r="P298" s="325"/>
      <c r="Q298" s="325"/>
    </row>
  </sheetData>
  <mergeCells count="30">
    <mergeCell ref="A147:A149"/>
    <mergeCell ref="A136:A138"/>
    <mergeCell ref="A23:B23"/>
    <mergeCell ref="A125:A127"/>
    <mergeCell ref="A114:A116"/>
    <mergeCell ref="A98:B98"/>
    <mergeCell ref="A67:B67"/>
    <mergeCell ref="A47:B47"/>
    <mergeCell ref="A39:B39"/>
    <mergeCell ref="P1:T1"/>
    <mergeCell ref="P2:T2"/>
    <mergeCell ref="M1:N1"/>
    <mergeCell ref="M2:N2"/>
    <mergeCell ref="E24:F24"/>
    <mergeCell ref="B167:C167"/>
    <mergeCell ref="G154:H154"/>
    <mergeCell ref="A3:B3"/>
    <mergeCell ref="A10:B10"/>
    <mergeCell ref="A1:H1"/>
    <mergeCell ref="B2:F2"/>
    <mergeCell ref="A13:C13"/>
    <mergeCell ref="E13:F14"/>
    <mergeCell ref="G13:H14"/>
    <mergeCell ref="A14:B14"/>
    <mergeCell ref="C14:D14"/>
    <mergeCell ref="F76:G76"/>
    <mergeCell ref="E28:F28"/>
    <mergeCell ref="C38:D38"/>
    <mergeCell ref="E38:F38"/>
    <mergeCell ref="B154:C154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19050</xdr:colOff>
                    <xdr:row>3</xdr:row>
                    <xdr:rowOff>9525</xdr:rowOff>
                  </from>
                  <to>
                    <xdr:col>2</xdr:col>
                    <xdr:colOff>876300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4</xdr:col>
                    <xdr:colOff>19050</xdr:colOff>
                    <xdr:row>3</xdr:row>
                    <xdr:rowOff>9525</xdr:rowOff>
                  </from>
                  <to>
                    <xdr:col>5</xdr:col>
                    <xdr:colOff>28575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 macro="[0]!Sheet2.PremCaseSelect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Drop Down 10">
              <controlPr defaultSize="0" autoLine="0" autoPict="0" macro="[0]!Sheet2.SICaseSelect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152400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Check Box 36">
              <controlPr defaultSize="0" autoFill="0" autoLine="0" autoPict="0" macro="[0]!Sheet2.IsMaxSIChick">
                <anchor moveWithCells="1">
                  <from>
                    <xdr:col>0</xdr:col>
                    <xdr:colOff>9525</xdr:colOff>
                    <xdr:row>23</xdr:row>
                    <xdr:rowOff>0</xdr:rowOff>
                  </from>
                  <to>
                    <xdr:col>1</xdr:col>
                    <xdr:colOff>419100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 Box 38">
              <controlPr defaultSize="0" autoFill="0" autoLine="0" autoPict="0" macro="[0]!Sheet2.IsMaxGPChick">
                <anchor moveWithCells="1">
                  <from>
                    <xdr:col>0</xdr:col>
                    <xdr:colOff>9525</xdr:colOff>
                    <xdr:row>24</xdr:row>
                    <xdr:rowOff>0</xdr:rowOff>
                  </from>
                  <to>
                    <xdr:col>1</xdr:col>
                    <xdr:colOff>419100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0" name="Check Box 40">
              <controlPr defaultSize="0" autoFill="0" autoLine="0" autoPict="0">
                <anchor moveWithCells="1">
                  <from>
                    <xdr:col>0</xdr:col>
                    <xdr:colOff>9525</xdr:colOff>
                    <xdr:row>25</xdr:row>
                    <xdr:rowOff>0</xdr:rowOff>
                  </from>
                  <to>
                    <xdr:col>1</xdr:col>
                    <xdr:colOff>419100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1" name="Check Box 41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0</xdr:rowOff>
                  </from>
                  <to>
                    <xdr:col>4</xdr:col>
                    <xdr:colOff>419100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2" name="Drop Down 42">
              <controlPr defaultSize="0" autoLine="0" autoPict="0">
                <anchor moveWithCells="1">
                  <from>
                    <xdr:col>1</xdr:col>
                    <xdr:colOff>428625</xdr:colOff>
                    <xdr:row>25</xdr:row>
                    <xdr:rowOff>19050</xdr:rowOff>
                  </from>
                  <to>
                    <xdr:col>2</xdr:col>
                    <xdr:colOff>76200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Drop Down 43">
              <controlPr defaultSize="0" autoLine="0" autoPict="0" macro="[0]!Sheet2.DeathCaseSelect">
                <anchor mov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4</xdr:col>
                    <xdr:colOff>257175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Drop Down 44">
              <controlPr defaultSize="0" autoLine="0" autoPict="0" macro="[0]!Sheet2.ExpYes">
                <anchor moveWithCells="1">
                  <from>
                    <xdr:col>1</xdr:col>
                    <xdr:colOff>9525</xdr:colOff>
                    <xdr:row>32</xdr:row>
                    <xdr:rowOff>9525</xdr:rowOff>
                  </from>
                  <to>
                    <xdr:col>2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5" name="Drop Down 45">
              <controlPr defaultSize="0" autoLine="0" autoPict="0" macro="[0]!Sheet2.ExpYes">
                <anchor moveWithCells="1">
                  <from>
                    <xdr:col>2</xdr:col>
                    <xdr:colOff>9525</xdr:colOff>
                    <xdr:row>32</xdr:row>
                    <xdr:rowOff>9525</xdr:rowOff>
                  </from>
                  <to>
                    <xdr:col>3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6" name="Drop Down 46">
              <controlPr defaultSize="0" autoLine="0" autoPict="0" macro="[0]!Sheet2.ExpYes">
                <anchor moveWithCells="1">
                  <from>
                    <xdr:col>3</xdr:col>
                    <xdr:colOff>9525</xdr:colOff>
                    <xdr:row>32</xdr:row>
                    <xdr:rowOff>9525</xdr:rowOff>
                  </from>
                  <to>
                    <xdr:col>4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7" name="Drop Down 47">
              <controlPr defaultSize="0" autoLine="0" autoPict="0" macro="[0]!Sheet2.ExpYes">
                <anchor moveWithCells="1">
                  <from>
                    <xdr:col>4</xdr:col>
                    <xdr:colOff>9525</xdr:colOff>
                    <xdr:row>32</xdr:row>
                    <xdr:rowOff>9525</xdr:rowOff>
                  </from>
                  <to>
                    <xdr:col>5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8" name="Drop Down 48">
              <controlPr defaultSize="0" autoLine="0" autoPict="0" macro="[0]!Sheet2.ExpYes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9" name="Drop Down 49">
              <controlPr defaultSize="0" autoLine="0" autoPict="0" macro="[0]!Sheet2.ExpYes">
                <anchor mov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0" name="Drop Down 50">
              <controlPr defaultSize="0" autoLine="0" autoPict="0" macro="[0]!Sheet2.ExpYes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2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1" name="Drop Down 51">
              <controlPr defaultSize="0" autoLine="0" autoPict="0" macro="[0]!Sheet2.ExpYes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3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2" name="Drop Down 52">
              <controlPr defaultSize="0" autoLine="0" autoPict="0" macro="[0]!Sheet2.ExpYes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4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3" name="Drop Down 53">
              <controlPr defaultSize="0" autoLine="0" autoPict="0" macro="[0]!Sheet2.ExpYes">
                <anchor moveWithCells="1">
                  <from>
                    <xdr:col>4</xdr:col>
                    <xdr:colOff>9525</xdr:colOff>
                    <xdr:row>31</xdr:row>
                    <xdr:rowOff>19050</xdr:rowOff>
                  </from>
                  <to>
                    <xdr:col>5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4" name="Drop Down 54">
              <controlPr defaultSize="0" autoLine="0" autoPict="0" macro="[0]!Sheet2.ExpYes">
                <anchor moveWithCells="1">
                  <from>
                    <xdr:col>5</xdr:col>
                    <xdr:colOff>9525</xdr:colOff>
                    <xdr:row>31</xdr:row>
                    <xdr:rowOff>19050</xdr:rowOff>
                  </from>
                  <to>
                    <xdr:col>6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5" name="Drop Down 55">
              <controlPr defaultSize="0" autoLine="0" autoPict="0" macro="[0]!Sheet2.ExpYes">
                <anchor moveWithCells="1">
                  <from>
                    <xdr:col>6</xdr:col>
                    <xdr:colOff>9525</xdr:colOff>
                    <xdr:row>31</xdr:row>
                    <xdr:rowOff>19050</xdr:rowOff>
                  </from>
                  <to>
                    <xdr:col>7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6" name="Drop Down 56">
              <controlPr defaultSize="0" autoLine="0" autoPict="0" macro="[0]!Sheet2.ExpYes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7" name="Drop Down 57">
              <controlPr defaultSize="0" autoLine="0" autoPict="0" macro="[0]!Sheet2.ExpYes">
                <anchor mov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9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8" name="Drop Down 58">
              <controlPr defaultSize="0" autoLine="0" autoPict="0" macro="[0]!Sheet2.ExpYes">
                <anchor moveWithCells="1">
                  <from>
                    <xdr:col>9</xdr:col>
                    <xdr:colOff>9525</xdr:colOff>
                    <xdr:row>32</xdr:row>
                    <xdr:rowOff>9525</xdr:rowOff>
                  </from>
                  <to>
                    <xdr:col>10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9" name="Drop Down 59">
              <controlPr defaultSize="0" autoLine="0" autoPict="0" macro="[0]!Sheet2.ExpYes">
                <anchor moveWithCells="1">
                  <from>
                    <xdr:col>7</xdr:col>
                    <xdr:colOff>9525</xdr:colOff>
                    <xdr:row>31</xdr:row>
                    <xdr:rowOff>19050</xdr:rowOff>
                  </from>
                  <to>
                    <xdr:col>8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0" name="Drop Down 60">
              <controlPr defaultSize="0" autoLine="0" autoPict="0" macro="[0]!Sheet2.ExpYes">
                <anchor moveWithCells="1">
                  <from>
                    <xdr:col>8</xdr:col>
                    <xdr:colOff>9525</xdr:colOff>
                    <xdr:row>31</xdr:row>
                    <xdr:rowOff>19050</xdr:rowOff>
                  </from>
                  <to>
                    <xdr:col>9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1" name="Drop Down 61">
              <controlPr defaultSize="0" autoLine="0" autoPict="0" macro="[0]!Sheet2.ExpYes">
                <anchor moveWithCells="1">
                  <from>
                    <xdr:col>9</xdr:col>
                    <xdr:colOff>9525</xdr:colOff>
                    <xdr:row>31</xdr:row>
                    <xdr:rowOff>19050</xdr:rowOff>
                  </from>
                  <to>
                    <xdr:col>10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2" name="Drop Down 62">
              <controlPr defaultSize="0" autoLine="0" autoPict="0" macro="[0]!Sheet2.NoLiveGive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3" name="Drop Down 63">
              <controlPr defaultSize="0" autoLine="0" autoPict="0" macro="[0]!Sheet2.Live_Click_No">
                <anchor moveWithCells="1">
                  <from>
                    <xdr:col>1</xdr:col>
                    <xdr:colOff>9525</xdr:colOff>
                    <xdr:row>40</xdr:row>
                    <xdr:rowOff>9525</xdr:rowOff>
                  </from>
                  <to>
                    <xdr:col>2</xdr:col>
                    <xdr:colOff>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34" name="Drop Down 64">
              <controlPr defaultSize="0" autoLine="0" autoPict="0" macro="[0]!Sheet2.LifeIntCase">
                <anchor moveWithCells="1">
                  <from>
                    <xdr:col>0</xdr:col>
                    <xdr:colOff>600075</xdr:colOff>
                    <xdr:row>37</xdr:row>
                    <xdr:rowOff>9525</xdr:rowOff>
                  </from>
                  <to>
                    <xdr:col>1</xdr:col>
                    <xdr:colOff>495300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35" name="Check Box 65">
              <controlPr defaultSize="0" autoFill="0" autoLine="0" autoPict="0" macro="[0]!Sheet2.SetSex_Click">
                <anchor moveWithCells="1">
                  <from>
                    <xdr:col>2</xdr:col>
                    <xdr:colOff>9525</xdr:colOff>
                    <xdr:row>46</xdr:row>
                    <xdr:rowOff>9525</xdr:rowOff>
                  </from>
                  <to>
                    <xdr:col>2</xdr:col>
                    <xdr:colOff>847725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6" name="Check Box 66">
              <controlPr defaultSize="0" autoFill="0" autoLine="0" autoPict="0" macro="[0]!Sheet2.SetSpc_Click">
                <anchor moveWithCells="1">
                  <from>
                    <xdr:col>3</xdr:col>
                    <xdr:colOff>9525</xdr:colOff>
                    <xdr:row>46</xdr:row>
                    <xdr:rowOff>9525</xdr:rowOff>
                  </from>
                  <to>
                    <xdr:col>3</xdr:col>
                    <xdr:colOff>847725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7" name="Check Box 67">
              <controlPr defaultSize="0" autoFill="0" autoLine="0" autoPict="0" macro="[0]!Sheet2.ChildSelect">
                <anchor moveWithCells="1">
                  <from>
                    <xdr:col>1</xdr:col>
                    <xdr:colOff>9525</xdr:colOff>
                    <xdr:row>27</xdr:row>
                    <xdr:rowOff>9525</xdr:rowOff>
                  </from>
                  <to>
                    <xdr:col>1</xdr:col>
                    <xdr:colOff>876300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8" name="Drop Down 68">
              <controlPr defaultSize="0" autoLine="0" autoPict="0">
                <anchor moveWithCells="1">
                  <from>
                    <xdr:col>2</xdr:col>
                    <xdr:colOff>9525</xdr:colOff>
                    <xdr:row>67</xdr:row>
                    <xdr:rowOff>0</xdr:rowOff>
                  </from>
                  <to>
                    <xdr:col>3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9" name="Drop Down 71">
              <controlPr defaultSize="0" autoLine="0" autoPict="0">
                <anchor moveWithCells="1">
                  <from>
                    <xdr:col>1</xdr:col>
                    <xdr:colOff>9525</xdr:colOff>
                    <xdr:row>80</xdr:row>
                    <xdr:rowOff>0</xdr:rowOff>
                  </from>
                  <to>
                    <xdr:col>2</xdr:col>
                    <xdr:colOff>552450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40" name="Drop Down 72">
              <controlPr defaultSize="0" autoLine="0" autoPict="0" macro="[0]!Sheet2.LoadCaseSelect">
                <anchor moveWithCells="1">
                  <from>
                    <xdr:col>1</xdr:col>
                    <xdr:colOff>9525</xdr:colOff>
                    <xdr:row>78</xdr:row>
                    <xdr:rowOff>0</xdr:rowOff>
                  </from>
                  <to>
                    <xdr:col>2</xdr:col>
                    <xdr:colOff>552450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41" name="Drop Down 73">
              <controlPr defaultSize="0" autoLine="0" autoPict="0" macro="[0]!Sheet2.P2_Click_No">
                <anchor moveWithCells="1">
                  <from>
                    <xdr:col>1</xdr:col>
                    <xdr:colOff>9525</xdr:colOff>
                    <xdr:row>79</xdr:row>
                    <xdr:rowOff>0</xdr:rowOff>
                  </from>
                  <to>
                    <xdr:col>2</xdr:col>
                    <xdr:colOff>552450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42" name="Drop Down 74">
              <controlPr defaultSize="0" autoLine="0" autoPict="0">
                <anchor moveWithCells="1">
                  <from>
                    <xdr:col>1</xdr:col>
                    <xdr:colOff>9525</xdr:colOff>
                    <xdr:row>81</xdr:row>
                    <xdr:rowOff>0</xdr:rowOff>
                  </from>
                  <to>
                    <xdr:col>2</xdr:col>
                    <xdr:colOff>552450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3" name="Drop Down 76">
              <controlPr defaultSize="0" autoLine="0" autoPict="0" macro="[0]!Sheet2.PremUnitSelect">
                <anchor moveWithCells="1">
                  <from>
                    <xdr:col>1</xdr:col>
                    <xdr:colOff>9525</xdr:colOff>
                    <xdr:row>83</xdr:row>
                    <xdr:rowOff>0</xdr:rowOff>
                  </from>
                  <to>
                    <xdr:col>2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44" name="Drop Down 77">
              <controlPr defaultSize="0" autoLine="0" autoPict="0">
                <anchor moveWithCells="1">
                  <from>
                    <xdr:col>3</xdr:col>
                    <xdr:colOff>9525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45" name="Drop Down 78">
              <controlPr defaultSize="0" autoLine="0" autoPict="0">
                <anchor moveWithCells="1">
                  <from>
                    <xdr:col>1</xdr:col>
                    <xdr:colOff>9525</xdr:colOff>
                    <xdr:row>84</xdr:row>
                    <xdr:rowOff>0</xdr:rowOff>
                  </from>
                  <to>
                    <xdr:col>2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46" name="Drop Down 80">
              <controlPr defaultSize="0" autoLine="0" autoPict="0">
                <anchor moveWithCells="1">
                  <from>
                    <xdr:col>2</xdr:col>
                    <xdr:colOff>9525</xdr:colOff>
                    <xdr:row>91</xdr:row>
                    <xdr:rowOff>0</xdr:rowOff>
                  </from>
                  <to>
                    <xdr:col>3</xdr:col>
                    <xdr:colOff>152400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47" name="Drop Down 81">
              <controlPr defaultSize="0" autoLine="0" autoPict="0">
                <anchor moveWithCells="1">
                  <from>
                    <xdr:col>3</xdr:col>
                    <xdr:colOff>161925</xdr:colOff>
                    <xdr:row>91</xdr:row>
                    <xdr:rowOff>0</xdr:rowOff>
                  </from>
                  <to>
                    <xdr:col>4</xdr:col>
                    <xdr:colOff>47625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48" name="Drop Down 83">
              <controlPr defaultSize="0" autoLine="0" autoPict="0" macro="[0]!Sheet2.ChildSelectNo">
                <anchor moveWithCells="1">
                  <from>
                    <xdr:col>8</xdr:col>
                    <xdr:colOff>9525</xdr:colOff>
                    <xdr:row>91</xdr:row>
                    <xdr:rowOff>0</xdr:rowOff>
                  </from>
                  <to>
                    <xdr:col>9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9" name="Drop Down 84">
              <controlPr defaultSize="0" autoLine="0" autoPict="0" macro="[0]!Sheet2.ChildSelectNo">
                <anchor moveWithCells="1">
                  <from>
                    <xdr:col>2</xdr:col>
                    <xdr:colOff>9525</xdr:colOff>
                    <xdr:row>92</xdr:row>
                    <xdr:rowOff>0</xdr:rowOff>
                  </from>
                  <to>
                    <xdr:col>4</xdr:col>
                    <xdr:colOff>47625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50" name="Drop Down 85">
              <controlPr defaultSize="0" autoLine="0" autoPict="0">
                <anchor moveWithCells="1">
                  <from>
                    <xdr:col>1</xdr:col>
                    <xdr:colOff>9525</xdr:colOff>
                    <xdr:row>94</xdr:row>
                    <xdr:rowOff>0</xdr:rowOff>
                  </from>
                  <to>
                    <xdr:col>2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51" name="Drop Down 86">
              <controlPr defaultSize="0" autoLine="0" autoPict="0">
                <anchor moveWithCells="1">
                  <from>
                    <xdr:col>1</xdr:col>
                    <xdr:colOff>9525</xdr:colOff>
                    <xdr:row>95</xdr:row>
                    <xdr:rowOff>0</xdr:rowOff>
                  </from>
                  <to>
                    <xdr:col>2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52" name="Drop Down 97">
              <controlPr defaultSize="0" autoLine="0" autoPict="0" macro="[0]!Sheet2.SIDiffSelect">
                <anchor moveWithCells="1">
                  <from>
                    <xdr:col>2</xdr:col>
                    <xdr:colOff>742950</xdr:colOff>
                    <xdr:row>12</xdr:row>
                    <xdr:rowOff>0</xdr:rowOff>
                  </from>
                  <to>
                    <xdr:col>4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53" name="Drop Down 98">
              <controlPr defaultSize="0" autoLine="0" autoPict="0" macro="[0]!Sheet2.InSIDiff_ClickGP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54" name="Drop Down 99">
              <controlPr defaultSize="0" autoLine="0" autoPict="0" macro="[0]!Sheet2.OutSIDiff_ClickGP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55" name="Drop Down 100">
              <controlPr defaultSize="0" autoLine="0" autoPict="0" macro="[0]!Sheet2.AfterDeath_Click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6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56" name="Drop Down 101">
              <controlPr defaultSize="0" autoLine="0" autoPict="0" macro="[0]!Sheet2.DeathGetLive_Click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8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57" name="Drop Down 102">
              <controlPr defaultSize="0" autoLine="0" autoPict="0" macro="[0]!Sheet2.InSIDiff_ClickGP">
                <anchor moveWithCells="1">
                  <from>
                    <xdr:col>1</xdr:col>
                    <xdr:colOff>9525</xdr:colOff>
                    <xdr:row>15</xdr:row>
                    <xdr:rowOff>9525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58" name="Drop Down 103">
              <controlPr defaultSize="0" autoLine="0" autoPict="0" macro="[0]!Sheet2.OutSIDiff_ClickGP">
                <anchor mov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59" name="Drop Down 104">
              <controlPr defaultSize="0" autoLine="0" autoPict="0" macro="[0]!Sheet2.SI_Click_No">
                <anchor moveWithCells="1">
                  <from>
                    <xdr:col>5</xdr:col>
                    <xdr:colOff>9525</xdr:colOff>
                    <xdr:row>15</xdr:row>
                    <xdr:rowOff>9525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60" name="Drop Down 105">
              <controlPr defaultSize="0" autoLine="0" autoPict="0" macro="[0]!Sheet2.SI_Click_No">
                <anchor mov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61" name="Drop Down 106">
              <controlPr defaultSize="0" autoLine="0" autoPict="0" macro="[0]!Sheet2.Live_Click_No">
                <anchor moveWithCells="1">
                  <from>
                    <xdr:col>1</xdr:col>
                    <xdr:colOff>9525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62" name="Drop Down 107">
              <controlPr defaultSize="0" autoLine="0" autoPict="0">
                <anchor moveWithCells="1">
                  <from>
                    <xdr:col>1</xdr:col>
                    <xdr:colOff>9525</xdr:colOff>
                    <xdr:row>73</xdr:row>
                    <xdr:rowOff>0</xdr:rowOff>
                  </from>
                  <to>
                    <xdr:col>2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63" name="Drop Down 108">
              <controlPr defaultSize="0" autoLine="0" autoPict="0">
                <anchor moveWithCells="1">
                  <from>
                    <xdr:col>2</xdr:col>
                    <xdr:colOff>9525</xdr:colOff>
                    <xdr:row>27</xdr:row>
                    <xdr:rowOff>9525</xdr:rowOff>
                  </from>
                  <to>
                    <xdr:col>3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64" name="Check Box 114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419100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65" name="Drop Down 115">
              <controlPr defaultSize="0" autoLine="0" autoPict="0" macro="[0]!Sheet2.LiveCaseSelect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152400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66" name="Check Box 127">
              <controlPr defaultSize="0" autoFill="0" autoLine="0" autoPict="0">
                <anchor moveWithCells="1">
                  <from>
                    <xdr:col>4</xdr:col>
                    <xdr:colOff>57150</xdr:colOff>
                    <xdr:row>90</xdr:row>
                    <xdr:rowOff>180975</xdr:rowOff>
                  </from>
                  <to>
                    <xdr:col>5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7" name="Drop Down 128">
              <controlPr defaultSize="0" autoLine="0" autoPict="0">
                <anchor moveWithCells="1">
                  <from>
                    <xdr:col>5</xdr:col>
                    <xdr:colOff>819150</xdr:colOff>
                    <xdr:row>91</xdr:row>
                    <xdr:rowOff>0</xdr:rowOff>
                  </from>
                  <to>
                    <xdr:col>7</xdr:col>
                    <xdr:colOff>581025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8" name="Drop Down 129">
              <controlPr defaultSize="0" autoLine="0" autoPict="0" macro="[0]!Sheet2.Live_Click_No">
                <anchor mov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9" name="Drop Down 131">
              <controlPr defaultSize="0" autoLine="0" autoPict="0">
                <anchor moveWithCells="1">
                  <from>
                    <xdr:col>1</xdr:col>
                    <xdr:colOff>762000</xdr:colOff>
                    <xdr:row>22</xdr:row>
                    <xdr:rowOff>9525</xdr:rowOff>
                  </from>
                  <to>
                    <xdr:col>3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0" name="Drop Down 143">
              <controlPr defaultSize="0" autoLine="0" autoPict="0">
                <anchor moveWithCells="1">
                  <from>
                    <xdr:col>6</xdr:col>
                    <xdr:colOff>19050</xdr:colOff>
                    <xdr:row>3</xdr:row>
                    <xdr:rowOff>9525</xdr:rowOff>
                  </from>
                  <to>
                    <xdr:col>7</xdr:col>
                    <xdr:colOff>28575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1" name="Drop Down 145">
              <controlPr defaultSize="0" autoLine="0" autoPict="0" macro="[0]!Sheet2.Live_Click_No">
                <anchor moveWithCells="1">
                  <from>
                    <xdr:col>3</xdr:col>
                    <xdr:colOff>0</xdr:colOff>
                    <xdr:row>25</xdr:row>
                    <xdr:rowOff>19050</xdr:rowOff>
                  </from>
                  <to>
                    <xdr:col>3</xdr:col>
                    <xdr:colOff>876300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72" name="Check Box 150">
              <controlPr defaultSize="0" autoFill="0" autoLine="0" autoPict="0" macro="[0]!Sheet2.ChildSelect">
                <anchor moveWithCells="1">
                  <from>
                    <xdr:col>2</xdr:col>
                    <xdr:colOff>19050</xdr:colOff>
                    <xdr:row>28</xdr:row>
                    <xdr:rowOff>171450</xdr:rowOff>
                  </from>
                  <to>
                    <xdr:col>5</xdr:col>
                    <xdr:colOff>57150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73" name="Drop Down 153">
              <controlPr defaultSize="0" autoLine="0" autoPict="0">
                <anchor moveWithCells="1">
                  <from>
                    <xdr:col>9</xdr:col>
                    <xdr:colOff>9525</xdr:colOff>
                    <xdr:row>98</xdr:row>
                    <xdr:rowOff>180975</xdr:rowOff>
                  </from>
                  <to>
                    <xdr:col>10</xdr:col>
                    <xdr:colOff>0</xdr:colOff>
                    <xdr:row>99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74" name="Drop Down 154">
              <controlPr defaultSize="0" autoLine="0" autoPict="0">
                <anchor moveWithCells="1">
                  <from>
                    <xdr:col>0</xdr:col>
                    <xdr:colOff>9525</xdr:colOff>
                    <xdr:row>105</xdr:row>
                    <xdr:rowOff>0</xdr:rowOff>
                  </from>
                  <to>
                    <xdr:col>1</xdr:col>
                    <xdr:colOff>0</xdr:colOff>
                    <xdr:row>105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activeCell="A23" sqref="A23"/>
    </sheetView>
  </sheetViews>
  <sheetFormatPr defaultRowHeight="16.5" x14ac:dyDescent="0.2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showGridLines="0" zoomScale="80" zoomScaleNormal="80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35" sqref="B35"/>
    </sheetView>
  </sheetViews>
  <sheetFormatPr defaultColWidth="11.125" defaultRowHeight="16.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105"/>
  <sheetViews>
    <sheetView showGridLines="0" zoomScale="80" zoomScaleNormal="80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12" sqref="B12"/>
    </sheetView>
  </sheetViews>
  <sheetFormatPr defaultColWidth="11.125" defaultRowHeight="18" x14ac:dyDescent="0.25"/>
  <cols>
    <col min="1" max="16384" width="11.125" style="307"/>
  </cols>
  <sheetData>
    <row r="1" spans="1:3" ht="27.75" x14ac:dyDescent="0.25">
      <c r="A1" s="364" t="s">
        <v>332</v>
      </c>
      <c r="B1" s="364"/>
      <c r="C1" s="364"/>
    </row>
    <row r="2" spans="1:3" ht="21" x14ac:dyDescent="0.25">
      <c r="A2" s="365" t="s">
        <v>336</v>
      </c>
      <c r="B2" s="365"/>
      <c r="C2" s="365"/>
    </row>
    <row r="3" spans="1:3" ht="18.75" thickBot="1" x14ac:dyDescent="0.3"/>
    <row r="4" spans="1:3" x14ac:dyDescent="0.25">
      <c r="A4" s="119" t="s">
        <v>108</v>
      </c>
      <c r="B4" s="366" t="s">
        <v>323</v>
      </c>
      <c r="C4" s="367"/>
    </row>
    <row r="5" spans="1:3" ht="18.75" thickBot="1" x14ac:dyDescent="0.3">
      <c r="A5" s="120" t="s">
        <v>333</v>
      </c>
      <c r="B5" s="121" t="s">
        <v>334</v>
      </c>
      <c r="C5" s="122" t="s">
        <v>335</v>
      </c>
    </row>
    <row r="6" spans="1:3" ht="18.75" thickTop="1" x14ac:dyDescent="0.25">
      <c r="A6" s="124">
        <v>1</v>
      </c>
      <c r="B6" s="311">
        <v>0.01</v>
      </c>
      <c r="C6" s="309"/>
    </row>
    <row r="7" spans="1:3" x14ac:dyDescent="0.25">
      <c r="A7" s="124">
        <v>2</v>
      </c>
      <c r="B7" s="311">
        <v>0.01</v>
      </c>
      <c r="C7" s="309"/>
    </row>
    <row r="8" spans="1:3" x14ac:dyDescent="0.25">
      <c r="A8" s="124">
        <v>3</v>
      </c>
      <c r="B8" s="311">
        <v>0.01</v>
      </c>
      <c r="C8" s="309"/>
    </row>
    <row r="9" spans="1:3" x14ac:dyDescent="0.25">
      <c r="A9" s="124">
        <v>4</v>
      </c>
      <c r="B9" s="311">
        <v>0.01</v>
      </c>
      <c r="C9" s="309"/>
    </row>
    <row r="10" spans="1:3" x14ac:dyDescent="0.25">
      <c r="A10" s="125">
        <v>5</v>
      </c>
      <c r="B10" s="313">
        <v>0.01</v>
      </c>
      <c r="C10" s="314"/>
    </row>
    <row r="11" spans="1:3" x14ac:dyDescent="0.25">
      <c r="A11" s="124">
        <v>6</v>
      </c>
      <c r="B11" s="311">
        <v>0.01</v>
      </c>
      <c r="C11" s="309"/>
    </row>
    <row r="12" spans="1:3" x14ac:dyDescent="0.25">
      <c r="A12" s="124">
        <v>7</v>
      </c>
      <c r="B12" s="311"/>
      <c r="C12" s="309"/>
    </row>
    <row r="13" spans="1:3" x14ac:dyDescent="0.25">
      <c r="A13" s="124">
        <v>8</v>
      </c>
      <c r="B13" s="311"/>
      <c r="C13" s="309"/>
    </row>
    <row r="14" spans="1:3" x14ac:dyDescent="0.25">
      <c r="A14" s="124">
        <v>9</v>
      </c>
      <c r="B14" s="311"/>
      <c r="C14" s="309"/>
    </row>
    <row r="15" spans="1:3" x14ac:dyDescent="0.25">
      <c r="A15" s="125">
        <v>10</v>
      </c>
      <c r="B15" s="313"/>
      <c r="C15" s="314"/>
    </row>
    <row r="16" spans="1:3" x14ac:dyDescent="0.25">
      <c r="A16" s="124">
        <v>11</v>
      </c>
      <c r="B16" s="311"/>
      <c r="C16" s="309"/>
    </row>
    <row r="17" spans="1:3" x14ac:dyDescent="0.25">
      <c r="A17" s="124">
        <v>12</v>
      </c>
      <c r="B17" s="311"/>
      <c r="C17" s="309"/>
    </row>
    <row r="18" spans="1:3" x14ac:dyDescent="0.25">
      <c r="A18" s="124">
        <v>13</v>
      </c>
      <c r="B18" s="311"/>
      <c r="C18" s="309"/>
    </row>
    <row r="19" spans="1:3" x14ac:dyDescent="0.25">
      <c r="A19" s="124">
        <v>14</v>
      </c>
      <c r="B19" s="311"/>
      <c r="C19" s="309"/>
    </row>
    <row r="20" spans="1:3" x14ac:dyDescent="0.25">
      <c r="A20" s="125">
        <v>15</v>
      </c>
      <c r="B20" s="313"/>
      <c r="C20" s="314"/>
    </row>
    <row r="21" spans="1:3" x14ac:dyDescent="0.25">
      <c r="A21" s="124">
        <v>16</v>
      </c>
      <c r="B21" s="311"/>
      <c r="C21" s="309"/>
    </row>
    <row r="22" spans="1:3" x14ac:dyDescent="0.25">
      <c r="A22" s="124">
        <v>17</v>
      </c>
      <c r="B22" s="311"/>
      <c r="C22" s="309"/>
    </row>
    <row r="23" spans="1:3" x14ac:dyDescent="0.25">
      <c r="A23" s="124">
        <v>18</v>
      </c>
      <c r="B23" s="311"/>
      <c r="C23" s="309"/>
    </row>
    <row r="24" spans="1:3" x14ac:dyDescent="0.25">
      <c r="A24" s="124">
        <v>19</v>
      </c>
      <c r="B24" s="311"/>
      <c r="C24" s="309"/>
    </row>
    <row r="25" spans="1:3" x14ac:dyDescent="0.25">
      <c r="A25" s="125">
        <v>20</v>
      </c>
      <c r="B25" s="313"/>
      <c r="C25" s="314"/>
    </row>
    <row r="26" spans="1:3" x14ac:dyDescent="0.25">
      <c r="A26" s="124">
        <v>21</v>
      </c>
      <c r="B26" s="311"/>
      <c r="C26" s="309"/>
    </row>
    <row r="27" spans="1:3" x14ac:dyDescent="0.25">
      <c r="A27" s="124">
        <v>22</v>
      </c>
      <c r="B27" s="311"/>
      <c r="C27" s="309"/>
    </row>
    <row r="28" spans="1:3" x14ac:dyDescent="0.25">
      <c r="A28" s="124">
        <v>23</v>
      </c>
      <c r="B28" s="311"/>
      <c r="C28" s="309"/>
    </row>
    <row r="29" spans="1:3" x14ac:dyDescent="0.25">
      <c r="A29" s="124">
        <v>24</v>
      </c>
      <c r="B29" s="311"/>
      <c r="C29" s="309"/>
    </row>
    <row r="30" spans="1:3" x14ac:dyDescent="0.25">
      <c r="A30" s="125">
        <v>25</v>
      </c>
      <c r="B30" s="313"/>
      <c r="C30" s="314"/>
    </row>
    <row r="31" spans="1:3" x14ac:dyDescent="0.25">
      <c r="A31" s="124">
        <v>26</v>
      </c>
      <c r="B31" s="311"/>
      <c r="C31" s="309"/>
    </row>
    <row r="32" spans="1:3" x14ac:dyDescent="0.25">
      <c r="A32" s="124">
        <v>27</v>
      </c>
      <c r="B32" s="311"/>
      <c r="C32" s="309"/>
    </row>
    <row r="33" spans="1:3" x14ac:dyDescent="0.25">
      <c r="A33" s="124">
        <v>28</v>
      </c>
      <c r="B33" s="311"/>
      <c r="C33" s="309"/>
    </row>
    <row r="34" spans="1:3" x14ac:dyDescent="0.25">
      <c r="A34" s="124">
        <v>29</v>
      </c>
      <c r="B34" s="311"/>
      <c r="C34" s="309"/>
    </row>
    <row r="35" spans="1:3" x14ac:dyDescent="0.25">
      <c r="A35" s="125">
        <v>30</v>
      </c>
      <c r="B35" s="313"/>
      <c r="C35" s="314"/>
    </row>
    <row r="36" spans="1:3" x14ac:dyDescent="0.25">
      <c r="A36" s="124">
        <v>31</v>
      </c>
      <c r="B36" s="311"/>
      <c r="C36" s="309"/>
    </row>
    <row r="37" spans="1:3" x14ac:dyDescent="0.25">
      <c r="A37" s="124">
        <v>32</v>
      </c>
      <c r="B37" s="311"/>
      <c r="C37" s="309"/>
    </row>
    <row r="38" spans="1:3" x14ac:dyDescent="0.25">
      <c r="A38" s="124">
        <v>33</v>
      </c>
      <c r="B38" s="311"/>
      <c r="C38" s="309"/>
    </row>
    <row r="39" spans="1:3" x14ac:dyDescent="0.25">
      <c r="A39" s="124">
        <v>34</v>
      </c>
      <c r="B39" s="311"/>
      <c r="C39" s="309"/>
    </row>
    <row r="40" spans="1:3" x14ac:dyDescent="0.25">
      <c r="A40" s="125">
        <v>35</v>
      </c>
      <c r="B40" s="313"/>
      <c r="C40" s="314"/>
    </row>
    <row r="41" spans="1:3" x14ac:dyDescent="0.25">
      <c r="A41" s="124">
        <v>36</v>
      </c>
      <c r="B41" s="311"/>
      <c r="C41" s="309"/>
    </row>
    <row r="42" spans="1:3" x14ac:dyDescent="0.25">
      <c r="A42" s="124">
        <v>37</v>
      </c>
      <c r="B42" s="311"/>
      <c r="C42" s="309"/>
    </row>
    <row r="43" spans="1:3" x14ac:dyDescent="0.25">
      <c r="A43" s="124">
        <v>38</v>
      </c>
      <c r="B43" s="311"/>
      <c r="C43" s="309"/>
    </row>
    <row r="44" spans="1:3" x14ac:dyDescent="0.25">
      <c r="A44" s="124">
        <v>39</v>
      </c>
      <c r="B44" s="311"/>
      <c r="C44" s="309"/>
    </row>
    <row r="45" spans="1:3" x14ac:dyDescent="0.25">
      <c r="A45" s="125">
        <v>40</v>
      </c>
      <c r="B45" s="313"/>
      <c r="C45" s="314"/>
    </row>
    <row r="46" spans="1:3" x14ac:dyDescent="0.25">
      <c r="A46" s="124">
        <v>41</v>
      </c>
      <c r="B46" s="311"/>
      <c r="C46" s="309"/>
    </row>
    <row r="47" spans="1:3" x14ac:dyDescent="0.25">
      <c r="A47" s="124">
        <v>42</v>
      </c>
      <c r="B47" s="311"/>
      <c r="C47" s="309"/>
    </row>
    <row r="48" spans="1:3" x14ac:dyDescent="0.25">
      <c r="A48" s="124">
        <v>43</v>
      </c>
      <c r="B48" s="311"/>
      <c r="C48" s="309"/>
    </row>
    <row r="49" spans="1:3" x14ac:dyDescent="0.25">
      <c r="A49" s="124">
        <v>44</v>
      </c>
      <c r="B49" s="311"/>
      <c r="C49" s="309"/>
    </row>
    <row r="50" spans="1:3" x14ac:dyDescent="0.25">
      <c r="A50" s="125">
        <v>45</v>
      </c>
      <c r="B50" s="313"/>
      <c r="C50" s="314"/>
    </row>
    <row r="51" spans="1:3" x14ac:dyDescent="0.25">
      <c r="A51" s="124">
        <v>46</v>
      </c>
      <c r="B51" s="311"/>
      <c r="C51" s="309"/>
    </row>
    <row r="52" spans="1:3" x14ac:dyDescent="0.25">
      <c r="A52" s="124">
        <v>47</v>
      </c>
      <c r="B52" s="311"/>
      <c r="C52" s="309"/>
    </row>
    <row r="53" spans="1:3" x14ac:dyDescent="0.25">
      <c r="A53" s="124">
        <v>48</v>
      </c>
      <c r="B53" s="311"/>
      <c r="C53" s="309"/>
    </row>
    <row r="54" spans="1:3" x14ac:dyDescent="0.25">
      <c r="A54" s="124">
        <v>49</v>
      </c>
      <c r="B54" s="311"/>
      <c r="C54" s="309"/>
    </row>
    <row r="55" spans="1:3" x14ac:dyDescent="0.25">
      <c r="A55" s="125">
        <v>50</v>
      </c>
      <c r="B55" s="313"/>
      <c r="C55" s="314"/>
    </row>
    <row r="56" spans="1:3" x14ac:dyDescent="0.25">
      <c r="A56" s="124">
        <v>51</v>
      </c>
      <c r="B56" s="311"/>
      <c r="C56" s="309"/>
    </row>
    <row r="57" spans="1:3" x14ac:dyDescent="0.25">
      <c r="A57" s="124">
        <v>52</v>
      </c>
      <c r="B57" s="311"/>
      <c r="C57" s="309"/>
    </row>
    <row r="58" spans="1:3" x14ac:dyDescent="0.25">
      <c r="A58" s="124">
        <v>53</v>
      </c>
      <c r="B58" s="311"/>
      <c r="C58" s="309"/>
    </row>
    <row r="59" spans="1:3" x14ac:dyDescent="0.25">
      <c r="A59" s="124">
        <v>54</v>
      </c>
      <c r="B59" s="311"/>
      <c r="C59" s="309"/>
    </row>
    <row r="60" spans="1:3" x14ac:dyDescent="0.25">
      <c r="A60" s="125">
        <v>55</v>
      </c>
      <c r="B60" s="313"/>
      <c r="C60" s="314"/>
    </row>
    <row r="61" spans="1:3" x14ac:dyDescent="0.25">
      <c r="A61" s="124">
        <v>56</v>
      </c>
      <c r="B61" s="311"/>
      <c r="C61" s="309"/>
    </row>
    <row r="62" spans="1:3" x14ac:dyDescent="0.25">
      <c r="A62" s="124">
        <v>57</v>
      </c>
      <c r="B62" s="311"/>
      <c r="C62" s="309"/>
    </row>
    <row r="63" spans="1:3" x14ac:dyDescent="0.25">
      <c r="A63" s="124">
        <v>58</v>
      </c>
      <c r="B63" s="311"/>
      <c r="C63" s="309"/>
    </row>
    <row r="64" spans="1:3" x14ac:dyDescent="0.25">
      <c r="A64" s="124">
        <v>59</v>
      </c>
      <c r="B64" s="311"/>
      <c r="C64" s="309"/>
    </row>
    <row r="65" spans="1:3" x14ac:dyDescent="0.25">
      <c r="A65" s="125">
        <v>60</v>
      </c>
      <c r="B65" s="313"/>
      <c r="C65" s="314"/>
    </row>
    <row r="66" spans="1:3" x14ac:dyDescent="0.25">
      <c r="A66" s="124">
        <v>61</v>
      </c>
      <c r="B66" s="311"/>
      <c r="C66" s="309"/>
    </row>
    <row r="67" spans="1:3" x14ac:dyDescent="0.25">
      <c r="A67" s="124">
        <v>62</v>
      </c>
      <c r="B67" s="311"/>
      <c r="C67" s="309"/>
    </row>
    <row r="68" spans="1:3" x14ac:dyDescent="0.25">
      <c r="A68" s="124">
        <v>63</v>
      </c>
      <c r="B68" s="311"/>
      <c r="C68" s="309"/>
    </row>
    <row r="69" spans="1:3" x14ac:dyDescent="0.25">
      <c r="A69" s="124">
        <v>64</v>
      </c>
      <c r="B69" s="311"/>
      <c r="C69" s="309"/>
    </row>
    <row r="70" spans="1:3" x14ac:dyDescent="0.25">
      <c r="A70" s="125">
        <v>65</v>
      </c>
      <c r="B70" s="313"/>
      <c r="C70" s="314"/>
    </row>
    <row r="71" spans="1:3" x14ac:dyDescent="0.25">
      <c r="A71" s="124">
        <v>66</v>
      </c>
      <c r="B71" s="311"/>
      <c r="C71" s="309"/>
    </row>
    <row r="72" spans="1:3" x14ac:dyDescent="0.25">
      <c r="A72" s="124">
        <v>67</v>
      </c>
      <c r="B72" s="311"/>
      <c r="C72" s="309"/>
    </row>
    <row r="73" spans="1:3" x14ac:dyDescent="0.25">
      <c r="A73" s="124">
        <v>68</v>
      </c>
      <c r="B73" s="311"/>
      <c r="C73" s="309"/>
    </row>
    <row r="74" spans="1:3" x14ac:dyDescent="0.25">
      <c r="A74" s="124">
        <v>69</v>
      </c>
      <c r="B74" s="311"/>
      <c r="C74" s="309"/>
    </row>
    <row r="75" spans="1:3" x14ac:dyDescent="0.25">
      <c r="A75" s="125">
        <v>70</v>
      </c>
      <c r="B75" s="313"/>
      <c r="C75" s="314"/>
    </row>
    <row r="76" spans="1:3" x14ac:dyDescent="0.25">
      <c r="A76" s="124">
        <v>71</v>
      </c>
      <c r="B76" s="311"/>
      <c r="C76" s="309"/>
    </row>
    <row r="77" spans="1:3" x14ac:dyDescent="0.25">
      <c r="A77" s="124">
        <v>72</v>
      </c>
      <c r="B77" s="311"/>
      <c r="C77" s="309"/>
    </row>
    <row r="78" spans="1:3" x14ac:dyDescent="0.25">
      <c r="A78" s="124">
        <v>73</v>
      </c>
      <c r="B78" s="311"/>
      <c r="C78" s="309"/>
    </row>
    <row r="79" spans="1:3" x14ac:dyDescent="0.25">
      <c r="A79" s="124">
        <v>74</v>
      </c>
      <c r="B79" s="311"/>
      <c r="C79" s="309"/>
    </row>
    <row r="80" spans="1:3" x14ac:dyDescent="0.25">
      <c r="A80" s="125">
        <v>75</v>
      </c>
      <c r="B80" s="313"/>
      <c r="C80" s="314"/>
    </row>
    <row r="81" spans="1:3" x14ac:dyDescent="0.25">
      <c r="A81" s="124">
        <v>76</v>
      </c>
      <c r="B81" s="311"/>
      <c r="C81" s="309"/>
    </row>
    <row r="82" spans="1:3" x14ac:dyDescent="0.25">
      <c r="A82" s="124">
        <v>77</v>
      </c>
      <c r="B82" s="311"/>
      <c r="C82" s="309"/>
    </row>
    <row r="83" spans="1:3" x14ac:dyDescent="0.25">
      <c r="A83" s="124">
        <v>78</v>
      </c>
      <c r="B83" s="311"/>
      <c r="C83" s="309"/>
    </row>
    <row r="84" spans="1:3" x14ac:dyDescent="0.25">
      <c r="A84" s="124">
        <v>79</v>
      </c>
      <c r="B84" s="311"/>
      <c r="C84" s="309"/>
    </row>
    <row r="85" spans="1:3" x14ac:dyDescent="0.25">
      <c r="A85" s="125">
        <v>80</v>
      </c>
      <c r="B85" s="313"/>
      <c r="C85" s="314"/>
    </row>
    <row r="86" spans="1:3" x14ac:dyDescent="0.25">
      <c r="A86" s="124">
        <v>81</v>
      </c>
      <c r="B86" s="311"/>
      <c r="C86" s="309"/>
    </row>
    <row r="87" spans="1:3" x14ac:dyDescent="0.25">
      <c r="A87" s="124">
        <v>82</v>
      </c>
      <c r="B87" s="311"/>
      <c r="C87" s="309"/>
    </row>
    <row r="88" spans="1:3" x14ac:dyDescent="0.25">
      <c r="A88" s="124">
        <v>83</v>
      </c>
      <c r="B88" s="311"/>
      <c r="C88" s="309"/>
    </row>
    <row r="89" spans="1:3" x14ac:dyDescent="0.25">
      <c r="A89" s="124">
        <v>84</v>
      </c>
      <c r="B89" s="311"/>
      <c r="C89" s="309"/>
    </row>
    <row r="90" spans="1:3" x14ac:dyDescent="0.25">
      <c r="A90" s="125">
        <v>85</v>
      </c>
      <c r="B90" s="313"/>
      <c r="C90" s="314"/>
    </row>
    <row r="91" spans="1:3" x14ac:dyDescent="0.25">
      <c r="A91" s="124">
        <v>86</v>
      </c>
      <c r="B91" s="311"/>
      <c r="C91" s="309"/>
    </row>
    <row r="92" spans="1:3" x14ac:dyDescent="0.25">
      <c r="A92" s="124">
        <v>87</v>
      </c>
      <c r="B92" s="311"/>
      <c r="C92" s="309"/>
    </row>
    <row r="93" spans="1:3" x14ac:dyDescent="0.25">
      <c r="A93" s="124">
        <v>88</v>
      </c>
      <c r="B93" s="311"/>
      <c r="C93" s="309"/>
    </row>
    <row r="94" spans="1:3" x14ac:dyDescent="0.25">
      <c r="A94" s="124">
        <v>89</v>
      </c>
      <c r="B94" s="311"/>
      <c r="C94" s="309"/>
    </row>
    <row r="95" spans="1:3" x14ac:dyDescent="0.25">
      <c r="A95" s="125">
        <v>90</v>
      </c>
      <c r="B95" s="313"/>
      <c r="C95" s="314"/>
    </row>
    <row r="96" spans="1:3" x14ac:dyDescent="0.25">
      <c r="A96" s="124">
        <v>91</v>
      </c>
      <c r="B96" s="311"/>
      <c r="C96" s="309"/>
    </row>
    <row r="97" spans="1:3" x14ac:dyDescent="0.25">
      <c r="A97" s="124">
        <v>92</v>
      </c>
      <c r="B97" s="311"/>
      <c r="C97" s="309"/>
    </row>
    <row r="98" spans="1:3" x14ac:dyDescent="0.25">
      <c r="A98" s="124">
        <v>93</v>
      </c>
      <c r="B98" s="311"/>
      <c r="C98" s="309"/>
    </row>
    <row r="99" spans="1:3" x14ac:dyDescent="0.25">
      <c r="A99" s="124">
        <v>94</v>
      </c>
      <c r="B99" s="311"/>
      <c r="C99" s="309"/>
    </row>
    <row r="100" spans="1:3" x14ac:dyDescent="0.25">
      <c r="A100" s="125">
        <v>95</v>
      </c>
      <c r="B100" s="313"/>
      <c r="C100" s="314"/>
    </row>
    <row r="101" spans="1:3" x14ac:dyDescent="0.25">
      <c r="A101" s="124">
        <v>96</v>
      </c>
      <c r="B101" s="311"/>
      <c r="C101" s="309"/>
    </row>
    <row r="102" spans="1:3" x14ac:dyDescent="0.25">
      <c r="A102" s="124">
        <v>97</v>
      </c>
      <c r="B102" s="311"/>
      <c r="C102" s="309"/>
    </row>
    <row r="103" spans="1:3" x14ac:dyDescent="0.25">
      <c r="A103" s="124">
        <v>98</v>
      </c>
      <c r="B103" s="311"/>
      <c r="C103" s="309"/>
    </row>
    <row r="104" spans="1:3" x14ac:dyDescent="0.25">
      <c r="A104" s="124">
        <v>99</v>
      </c>
      <c r="B104" s="311"/>
      <c r="C104" s="309"/>
    </row>
    <row r="105" spans="1:3" ht="18.75" thickBot="1" x14ac:dyDescent="0.3">
      <c r="A105" s="126">
        <v>100</v>
      </c>
      <c r="B105" s="312"/>
      <c r="C105" s="310"/>
    </row>
  </sheetData>
  <mergeCells count="3">
    <mergeCell ref="A1:C1"/>
    <mergeCell ref="A2:C2"/>
    <mergeCell ref="B4:C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"/>
  <sheetViews>
    <sheetView showGridLines="0" zoomScale="80" zoomScaleNormal="80" workbookViewId="0">
      <pane xSplit="1" ySplit="4" topLeftCell="B5" activePane="bottomRight" state="frozenSplit"/>
      <selection pane="topRight" activeCell="B1" sqref="B1"/>
      <selection pane="bottomLeft" activeCell="A6" sqref="A6"/>
      <selection pane="bottomRight" activeCell="B13" sqref="B13"/>
    </sheetView>
  </sheetViews>
  <sheetFormatPr defaultColWidth="11.125" defaultRowHeight="16.5" x14ac:dyDescent="0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showGridLines="0" zoomScale="80" zoomScaleNormal="80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I85" sqref="H73:I85"/>
    </sheetView>
  </sheetViews>
  <sheetFormatPr defaultColWidth="11.125" defaultRowHeight="16.5" x14ac:dyDescent="0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E66"/>
  <sheetViews>
    <sheetView showGridLines="0" zoomScale="80" zoomScaleNormal="80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sqref="A1:M1"/>
    </sheetView>
  </sheetViews>
  <sheetFormatPr defaultColWidth="11.125" defaultRowHeight="18" x14ac:dyDescent="0.25"/>
  <cols>
    <col min="1" max="16384" width="11.125" style="324"/>
  </cols>
  <sheetData>
    <row r="1" spans="1:5" ht="27.75" x14ac:dyDescent="0.25">
      <c r="A1" s="364" t="s">
        <v>355</v>
      </c>
      <c r="B1" s="364"/>
      <c r="C1" s="364"/>
      <c r="D1" s="364"/>
      <c r="E1" s="364"/>
    </row>
    <row r="2" spans="1:5" ht="21" x14ac:dyDescent="0.25">
      <c r="A2" s="365" t="s">
        <v>356</v>
      </c>
      <c r="B2" s="365"/>
      <c r="C2" s="365"/>
      <c r="D2" s="365"/>
      <c r="E2" s="365"/>
    </row>
    <row r="3" spans="1:5" ht="18.75" thickBot="1" x14ac:dyDescent="0.3"/>
    <row r="4" spans="1:5" x14ac:dyDescent="0.25">
      <c r="A4" s="119" t="s">
        <v>108</v>
      </c>
      <c r="B4" s="366" t="s">
        <v>357</v>
      </c>
      <c r="C4" s="382"/>
      <c r="D4" s="366" t="s">
        <v>358</v>
      </c>
      <c r="E4" s="367"/>
    </row>
    <row r="5" spans="1:5" ht="18.75" thickBot="1" x14ac:dyDescent="0.3">
      <c r="A5" s="120" t="s">
        <v>270</v>
      </c>
      <c r="B5" s="121" t="s">
        <v>109</v>
      </c>
      <c r="C5" s="383" t="s">
        <v>110</v>
      </c>
      <c r="D5" s="121" t="s">
        <v>109</v>
      </c>
      <c r="E5" s="122" t="s">
        <v>110</v>
      </c>
    </row>
    <row r="6" spans="1:5" ht="18.75" thickTop="1" x14ac:dyDescent="0.25">
      <c r="A6" s="123">
        <v>0</v>
      </c>
      <c r="B6" s="265">
        <v>85</v>
      </c>
      <c r="C6" s="386">
        <v>67</v>
      </c>
      <c r="D6" s="265">
        <v>55</v>
      </c>
      <c r="E6" s="280">
        <v>42</v>
      </c>
    </row>
    <row r="7" spans="1:5" x14ac:dyDescent="0.25">
      <c r="A7" s="124">
        <v>1</v>
      </c>
      <c r="B7" s="278">
        <v>83</v>
      </c>
      <c r="C7" s="384">
        <v>62</v>
      </c>
      <c r="D7" s="278">
        <v>53</v>
      </c>
      <c r="E7" s="276">
        <v>38</v>
      </c>
    </row>
    <row r="8" spans="1:5" x14ac:dyDescent="0.25">
      <c r="A8" s="124">
        <v>2</v>
      </c>
      <c r="B8" s="278">
        <v>85</v>
      </c>
      <c r="C8" s="384">
        <v>63</v>
      </c>
      <c r="D8" s="278">
        <v>54</v>
      </c>
      <c r="E8" s="276">
        <v>39</v>
      </c>
    </row>
    <row r="9" spans="1:5" x14ac:dyDescent="0.25">
      <c r="A9" s="124">
        <v>3</v>
      </c>
      <c r="B9" s="278">
        <v>87</v>
      </c>
      <c r="C9" s="384">
        <v>65</v>
      </c>
      <c r="D9" s="278">
        <v>55</v>
      </c>
      <c r="E9" s="276">
        <v>40</v>
      </c>
    </row>
    <row r="10" spans="1:5" x14ac:dyDescent="0.25">
      <c r="A10" s="124">
        <v>4</v>
      </c>
      <c r="B10" s="278">
        <v>88</v>
      </c>
      <c r="C10" s="384">
        <v>67</v>
      </c>
      <c r="D10" s="278">
        <v>57</v>
      </c>
      <c r="E10" s="276">
        <v>42</v>
      </c>
    </row>
    <row r="11" spans="1:5" x14ac:dyDescent="0.25">
      <c r="A11" s="125">
        <v>5</v>
      </c>
      <c r="B11" s="281">
        <v>90</v>
      </c>
      <c r="C11" s="387">
        <v>70</v>
      </c>
      <c r="D11" s="281">
        <v>58</v>
      </c>
      <c r="E11" s="282">
        <v>44</v>
      </c>
    </row>
    <row r="12" spans="1:5" x14ac:dyDescent="0.25">
      <c r="A12" s="124">
        <v>6</v>
      </c>
      <c r="B12" s="278">
        <v>93</v>
      </c>
      <c r="C12" s="384">
        <v>72</v>
      </c>
      <c r="D12" s="278">
        <v>60</v>
      </c>
      <c r="E12" s="276">
        <v>45</v>
      </c>
    </row>
    <row r="13" spans="1:5" x14ac:dyDescent="0.25">
      <c r="A13" s="124">
        <v>7</v>
      </c>
      <c r="B13" s="278">
        <v>95</v>
      </c>
      <c r="C13" s="384">
        <v>74</v>
      </c>
      <c r="D13" s="278">
        <v>62</v>
      </c>
      <c r="E13" s="276">
        <v>47</v>
      </c>
    </row>
    <row r="14" spans="1:5" x14ac:dyDescent="0.25">
      <c r="A14" s="124">
        <v>8</v>
      </c>
      <c r="B14" s="278">
        <v>97</v>
      </c>
      <c r="C14" s="384">
        <v>76</v>
      </c>
      <c r="D14" s="278">
        <v>64</v>
      </c>
      <c r="E14" s="276">
        <v>49</v>
      </c>
    </row>
    <row r="15" spans="1:5" x14ac:dyDescent="0.25">
      <c r="A15" s="124">
        <v>9</v>
      </c>
      <c r="B15" s="278">
        <v>100</v>
      </c>
      <c r="C15" s="384">
        <v>78</v>
      </c>
      <c r="D15" s="278">
        <v>67</v>
      </c>
      <c r="E15" s="276">
        <v>51</v>
      </c>
    </row>
    <row r="16" spans="1:5" x14ac:dyDescent="0.25">
      <c r="A16" s="125">
        <v>10</v>
      </c>
      <c r="B16" s="281">
        <v>105</v>
      </c>
      <c r="C16" s="387">
        <v>80</v>
      </c>
      <c r="D16" s="281">
        <v>70</v>
      </c>
      <c r="E16" s="282">
        <v>54</v>
      </c>
    </row>
    <row r="17" spans="1:5" x14ac:dyDescent="0.25">
      <c r="A17" s="124">
        <v>11</v>
      </c>
      <c r="B17" s="278">
        <v>107</v>
      </c>
      <c r="C17" s="384">
        <v>82</v>
      </c>
      <c r="D17" s="278">
        <v>72</v>
      </c>
      <c r="E17" s="276">
        <v>56</v>
      </c>
    </row>
    <row r="18" spans="1:5" x14ac:dyDescent="0.25">
      <c r="A18" s="124">
        <v>12</v>
      </c>
      <c r="B18" s="278">
        <v>110</v>
      </c>
      <c r="C18" s="384">
        <v>84</v>
      </c>
      <c r="D18" s="278">
        <v>75</v>
      </c>
      <c r="E18" s="276">
        <v>58</v>
      </c>
    </row>
    <row r="19" spans="1:5" x14ac:dyDescent="0.25">
      <c r="A19" s="124">
        <v>13</v>
      </c>
      <c r="B19" s="278">
        <v>117</v>
      </c>
      <c r="C19" s="384">
        <v>87</v>
      </c>
      <c r="D19" s="278">
        <v>81</v>
      </c>
      <c r="E19" s="276">
        <v>60</v>
      </c>
    </row>
    <row r="20" spans="1:5" x14ac:dyDescent="0.25">
      <c r="A20" s="124">
        <v>14</v>
      </c>
      <c r="B20" s="278">
        <v>113</v>
      </c>
      <c r="C20" s="384">
        <v>90</v>
      </c>
      <c r="D20" s="278">
        <v>78</v>
      </c>
      <c r="E20" s="276">
        <v>62</v>
      </c>
    </row>
    <row r="21" spans="1:5" x14ac:dyDescent="0.25">
      <c r="A21" s="125">
        <v>15</v>
      </c>
      <c r="B21" s="281">
        <v>120</v>
      </c>
      <c r="C21" s="387">
        <v>93</v>
      </c>
      <c r="D21" s="281">
        <v>84</v>
      </c>
      <c r="E21" s="282">
        <v>65</v>
      </c>
    </row>
    <row r="22" spans="1:5" x14ac:dyDescent="0.25">
      <c r="A22" s="124">
        <v>16</v>
      </c>
      <c r="B22" s="278">
        <v>124</v>
      </c>
      <c r="C22" s="384">
        <v>96</v>
      </c>
      <c r="D22" s="278">
        <v>87</v>
      </c>
      <c r="E22" s="276">
        <v>67</v>
      </c>
    </row>
    <row r="23" spans="1:5" x14ac:dyDescent="0.25">
      <c r="A23" s="124">
        <v>17</v>
      </c>
      <c r="B23" s="278">
        <v>128</v>
      </c>
      <c r="C23" s="384">
        <v>99</v>
      </c>
      <c r="D23" s="278">
        <v>91</v>
      </c>
      <c r="E23" s="276">
        <v>70</v>
      </c>
    </row>
    <row r="24" spans="1:5" x14ac:dyDescent="0.25">
      <c r="A24" s="124">
        <v>18</v>
      </c>
      <c r="B24" s="278">
        <v>131</v>
      </c>
      <c r="C24" s="384">
        <v>102</v>
      </c>
      <c r="D24" s="278">
        <v>94</v>
      </c>
      <c r="E24" s="276">
        <v>72</v>
      </c>
    </row>
    <row r="25" spans="1:5" x14ac:dyDescent="0.25">
      <c r="A25" s="124">
        <v>19</v>
      </c>
      <c r="B25" s="278">
        <v>135</v>
      </c>
      <c r="C25" s="384">
        <v>105</v>
      </c>
      <c r="D25" s="278">
        <v>97</v>
      </c>
      <c r="E25" s="276">
        <v>76</v>
      </c>
    </row>
    <row r="26" spans="1:5" x14ac:dyDescent="0.25">
      <c r="A26" s="125">
        <v>20</v>
      </c>
      <c r="B26" s="281">
        <v>140</v>
      </c>
      <c r="C26" s="387">
        <v>108</v>
      </c>
      <c r="D26" s="281">
        <v>100</v>
      </c>
      <c r="E26" s="282">
        <v>79</v>
      </c>
    </row>
    <row r="27" spans="1:5" x14ac:dyDescent="0.25">
      <c r="A27" s="124">
        <v>21</v>
      </c>
      <c r="B27" s="278">
        <v>145</v>
      </c>
      <c r="C27" s="384">
        <v>112</v>
      </c>
      <c r="D27" s="278">
        <v>103</v>
      </c>
      <c r="E27" s="276">
        <v>83</v>
      </c>
    </row>
    <row r="28" spans="1:5" x14ac:dyDescent="0.25">
      <c r="A28" s="124">
        <v>22</v>
      </c>
      <c r="B28" s="278">
        <v>149</v>
      </c>
      <c r="C28" s="384">
        <v>117</v>
      </c>
      <c r="D28" s="278">
        <v>107</v>
      </c>
      <c r="E28" s="276">
        <v>86</v>
      </c>
    </row>
    <row r="29" spans="1:5" x14ac:dyDescent="0.25">
      <c r="A29" s="124">
        <v>23</v>
      </c>
      <c r="B29" s="278">
        <v>154</v>
      </c>
      <c r="C29" s="384">
        <v>120</v>
      </c>
      <c r="D29" s="278">
        <v>111</v>
      </c>
      <c r="E29" s="276">
        <v>89</v>
      </c>
    </row>
    <row r="30" spans="1:5" x14ac:dyDescent="0.25">
      <c r="A30" s="124">
        <v>24</v>
      </c>
      <c r="B30" s="278">
        <v>159</v>
      </c>
      <c r="C30" s="384">
        <v>123</v>
      </c>
      <c r="D30" s="278">
        <v>115</v>
      </c>
      <c r="E30" s="276">
        <v>92</v>
      </c>
    </row>
    <row r="31" spans="1:5" x14ac:dyDescent="0.25">
      <c r="A31" s="125">
        <v>25</v>
      </c>
      <c r="B31" s="281">
        <v>165</v>
      </c>
      <c r="C31" s="387">
        <v>126</v>
      </c>
      <c r="D31" s="281">
        <v>120</v>
      </c>
      <c r="E31" s="282">
        <v>96</v>
      </c>
    </row>
    <row r="32" spans="1:5" x14ac:dyDescent="0.25">
      <c r="A32" s="124">
        <v>26</v>
      </c>
      <c r="B32" s="278">
        <v>170</v>
      </c>
      <c r="C32" s="384">
        <v>130</v>
      </c>
      <c r="D32" s="278">
        <v>126</v>
      </c>
      <c r="E32" s="276">
        <v>100</v>
      </c>
    </row>
    <row r="33" spans="1:5" x14ac:dyDescent="0.25">
      <c r="A33" s="124">
        <v>27</v>
      </c>
      <c r="B33" s="278">
        <v>175</v>
      </c>
      <c r="C33" s="384">
        <v>135</v>
      </c>
      <c r="D33" s="278">
        <v>131</v>
      </c>
      <c r="E33" s="276">
        <v>104</v>
      </c>
    </row>
    <row r="34" spans="1:5" x14ac:dyDescent="0.25">
      <c r="A34" s="124">
        <v>28</v>
      </c>
      <c r="B34" s="278">
        <v>179</v>
      </c>
      <c r="C34" s="384">
        <v>140</v>
      </c>
      <c r="D34" s="278">
        <v>137</v>
      </c>
      <c r="E34" s="276">
        <v>110</v>
      </c>
    </row>
    <row r="35" spans="1:5" x14ac:dyDescent="0.25">
      <c r="A35" s="124">
        <v>29</v>
      </c>
      <c r="B35" s="278">
        <v>183</v>
      </c>
      <c r="C35" s="384">
        <v>145</v>
      </c>
      <c r="D35" s="278">
        <v>143</v>
      </c>
      <c r="E35" s="276">
        <v>113</v>
      </c>
    </row>
    <row r="36" spans="1:5" x14ac:dyDescent="0.25">
      <c r="A36" s="125">
        <v>30</v>
      </c>
      <c r="B36" s="281">
        <v>188</v>
      </c>
      <c r="C36" s="387">
        <v>149</v>
      </c>
      <c r="D36" s="281">
        <v>149</v>
      </c>
      <c r="E36" s="282">
        <v>117</v>
      </c>
    </row>
    <row r="37" spans="1:5" x14ac:dyDescent="0.25">
      <c r="A37" s="124">
        <v>31</v>
      </c>
      <c r="B37" s="278">
        <v>195</v>
      </c>
      <c r="C37" s="384">
        <v>155</v>
      </c>
      <c r="D37" s="278">
        <v>156</v>
      </c>
      <c r="E37" s="276">
        <v>124</v>
      </c>
    </row>
    <row r="38" spans="1:5" x14ac:dyDescent="0.25">
      <c r="A38" s="124">
        <v>32</v>
      </c>
      <c r="B38" s="278">
        <v>200</v>
      </c>
      <c r="C38" s="384">
        <v>160</v>
      </c>
      <c r="D38" s="278">
        <v>163</v>
      </c>
      <c r="E38" s="276">
        <v>130</v>
      </c>
    </row>
    <row r="39" spans="1:5" x14ac:dyDescent="0.25">
      <c r="A39" s="124">
        <v>33</v>
      </c>
      <c r="B39" s="278">
        <v>206</v>
      </c>
      <c r="C39" s="384">
        <v>164</v>
      </c>
      <c r="D39" s="278">
        <v>171</v>
      </c>
      <c r="E39" s="276">
        <v>138</v>
      </c>
    </row>
    <row r="40" spans="1:5" x14ac:dyDescent="0.25">
      <c r="A40" s="124">
        <v>34</v>
      </c>
      <c r="B40" s="278">
        <v>211</v>
      </c>
      <c r="C40" s="384">
        <v>168</v>
      </c>
      <c r="D40" s="278">
        <v>179</v>
      </c>
      <c r="E40" s="276">
        <v>147</v>
      </c>
    </row>
    <row r="41" spans="1:5" x14ac:dyDescent="0.25">
      <c r="A41" s="125">
        <v>35</v>
      </c>
      <c r="B41" s="281">
        <v>217</v>
      </c>
      <c r="C41" s="387">
        <v>173</v>
      </c>
      <c r="D41" s="281">
        <v>189</v>
      </c>
      <c r="E41" s="282">
        <v>156</v>
      </c>
    </row>
    <row r="42" spans="1:5" x14ac:dyDescent="0.25">
      <c r="A42" s="124">
        <v>36</v>
      </c>
      <c r="B42" s="278">
        <v>225</v>
      </c>
      <c r="C42" s="384">
        <v>179</v>
      </c>
      <c r="D42" s="278">
        <v>201</v>
      </c>
      <c r="E42" s="276">
        <v>166</v>
      </c>
    </row>
    <row r="43" spans="1:5" x14ac:dyDescent="0.25">
      <c r="A43" s="124">
        <v>37</v>
      </c>
      <c r="B43" s="278">
        <v>231</v>
      </c>
      <c r="C43" s="384">
        <v>185</v>
      </c>
      <c r="D43" s="278">
        <v>212</v>
      </c>
      <c r="E43" s="276">
        <v>175</v>
      </c>
    </row>
    <row r="44" spans="1:5" x14ac:dyDescent="0.25">
      <c r="A44" s="124">
        <v>38</v>
      </c>
      <c r="B44" s="278">
        <v>240</v>
      </c>
      <c r="C44" s="384">
        <v>191</v>
      </c>
      <c r="D44" s="278">
        <v>224</v>
      </c>
      <c r="E44" s="276">
        <v>184</v>
      </c>
    </row>
    <row r="45" spans="1:5" x14ac:dyDescent="0.25">
      <c r="A45" s="124">
        <v>39</v>
      </c>
      <c r="B45" s="278">
        <v>247</v>
      </c>
      <c r="C45" s="384">
        <v>197</v>
      </c>
      <c r="D45" s="278">
        <v>238</v>
      </c>
      <c r="E45" s="276">
        <v>193</v>
      </c>
    </row>
    <row r="46" spans="1:5" x14ac:dyDescent="0.25">
      <c r="A46" s="125">
        <v>40</v>
      </c>
      <c r="B46" s="281">
        <v>254</v>
      </c>
      <c r="C46" s="387">
        <v>203</v>
      </c>
      <c r="D46" s="281">
        <v>254</v>
      </c>
      <c r="E46" s="282">
        <v>203</v>
      </c>
    </row>
    <row r="47" spans="1:5" x14ac:dyDescent="0.25">
      <c r="A47" s="124">
        <v>41</v>
      </c>
      <c r="B47" s="278">
        <v>260</v>
      </c>
      <c r="C47" s="384">
        <v>210</v>
      </c>
      <c r="D47" s="278">
        <v>269</v>
      </c>
      <c r="E47" s="276">
        <v>212</v>
      </c>
    </row>
    <row r="48" spans="1:5" x14ac:dyDescent="0.25">
      <c r="A48" s="124">
        <v>42</v>
      </c>
      <c r="B48" s="278">
        <v>267</v>
      </c>
      <c r="C48" s="384">
        <v>218</v>
      </c>
      <c r="D48" s="278">
        <v>284</v>
      </c>
      <c r="E48" s="276">
        <v>223</v>
      </c>
    </row>
    <row r="49" spans="1:5" x14ac:dyDescent="0.25">
      <c r="A49" s="124">
        <v>43</v>
      </c>
      <c r="B49" s="278">
        <v>276</v>
      </c>
      <c r="C49" s="384">
        <v>225</v>
      </c>
      <c r="D49" s="278">
        <v>299</v>
      </c>
      <c r="E49" s="276">
        <v>236</v>
      </c>
    </row>
    <row r="50" spans="1:5" x14ac:dyDescent="0.25">
      <c r="A50" s="124">
        <v>44</v>
      </c>
      <c r="B50" s="278">
        <v>285</v>
      </c>
      <c r="C50" s="384">
        <v>232</v>
      </c>
      <c r="D50" s="278">
        <v>323</v>
      </c>
      <c r="E50" s="276">
        <v>256</v>
      </c>
    </row>
    <row r="51" spans="1:5" x14ac:dyDescent="0.25">
      <c r="A51" s="125">
        <v>45</v>
      </c>
      <c r="B51" s="281">
        <v>295</v>
      </c>
      <c r="C51" s="387">
        <v>240</v>
      </c>
      <c r="D51" s="281">
        <v>349</v>
      </c>
      <c r="E51" s="282">
        <v>277</v>
      </c>
    </row>
    <row r="52" spans="1:5" x14ac:dyDescent="0.25">
      <c r="A52" s="124">
        <v>46</v>
      </c>
      <c r="B52" s="278">
        <v>306</v>
      </c>
      <c r="C52" s="384">
        <v>248</v>
      </c>
      <c r="D52" s="278">
        <v>378</v>
      </c>
      <c r="E52" s="276">
        <v>303</v>
      </c>
    </row>
    <row r="53" spans="1:5" x14ac:dyDescent="0.25">
      <c r="A53" s="124">
        <v>47</v>
      </c>
      <c r="B53" s="278">
        <v>430</v>
      </c>
      <c r="C53" s="384">
        <v>256</v>
      </c>
      <c r="D53" s="278">
        <v>411</v>
      </c>
      <c r="E53" s="276">
        <v>331</v>
      </c>
    </row>
    <row r="54" spans="1:5" x14ac:dyDescent="0.25">
      <c r="A54" s="124">
        <v>48</v>
      </c>
      <c r="B54" s="278">
        <v>448</v>
      </c>
      <c r="C54" s="384">
        <v>264</v>
      </c>
      <c r="D54" s="278">
        <v>448</v>
      </c>
      <c r="E54" s="276">
        <v>363</v>
      </c>
    </row>
    <row r="55" spans="1:5" x14ac:dyDescent="0.25">
      <c r="A55" s="124">
        <v>49</v>
      </c>
      <c r="B55" s="278">
        <v>317</v>
      </c>
      <c r="C55" s="384">
        <v>272</v>
      </c>
      <c r="D55" s="278">
        <v>492</v>
      </c>
      <c r="E55" s="276">
        <v>402</v>
      </c>
    </row>
    <row r="56" spans="1:5" x14ac:dyDescent="0.25">
      <c r="A56" s="125">
        <v>50</v>
      </c>
      <c r="B56" s="281">
        <v>330</v>
      </c>
      <c r="C56" s="387">
        <v>280</v>
      </c>
      <c r="D56" s="281">
        <v>544</v>
      </c>
      <c r="E56" s="282">
        <v>446</v>
      </c>
    </row>
    <row r="57" spans="1:5" x14ac:dyDescent="0.25">
      <c r="A57" s="124">
        <v>51</v>
      </c>
      <c r="B57" s="278">
        <v>342</v>
      </c>
      <c r="C57" s="384">
        <v>288</v>
      </c>
      <c r="D57" s="278">
        <v>613</v>
      </c>
      <c r="E57" s="276">
        <v>503</v>
      </c>
    </row>
    <row r="58" spans="1:5" x14ac:dyDescent="0.25">
      <c r="A58" s="124">
        <v>52</v>
      </c>
      <c r="B58" s="278">
        <v>354</v>
      </c>
      <c r="C58" s="384">
        <v>298</v>
      </c>
      <c r="D58" s="278">
        <v>700</v>
      </c>
      <c r="E58" s="276">
        <v>574</v>
      </c>
    </row>
    <row r="59" spans="1:5" x14ac:dyDescent="0.25">
      <c r="A59" s="124">
        <v>53</v>
      </c>
      <c r="B59" s="278">
        <v>368</v>
      </c>
      <c r="C59" s="384">
        <v>309</v>
      </c>
      <c r="D59" s="278">
        <v>810</v>
      </c>
      <c r="E59" s="276">
        <v>673</v>
      </c>
    </row>
    <row r="60" spans="1:5" x14ac:dyDescent="0.25">
      <c r="A60" s="124">
        <v>54</v>
      </c>
      <c r="B60" s="278">
        <v>381</v>
      </c>
      <c r="C60" s="384">
        <v>320</v>
      </c>
      <c r="D60" s="278">
        <v>942</v>
      </c>
      <c r="E60" s="276">
        <v>785</v>
      </c>
    </row>
    <row r="61" spans="1:5" x14ac:dyDescent="0.25">
      <c r="A61" s="125">
        <v>55</v>
      </c>
      <c r="B61" s="281">
        <v>397</v>
      </c>
      <c r="C61" s="387">
        <v>333</v>
      </c>
      <c r="D61" s="281"/>
      <c r="E61" s="282"/>
    </row>
    <row r="62" spans="1:5" x14ac:dyDescent="0.25">
      <c r="A62" s="124">
        <v>56</v>
      </c>
      <c r="B62" s="278">
        <v>413</v>
      </c>
      <c r="C62" s="384">
        <v>346</v>
      </c>
      <c r="D62" s="278"/>
      <c r="E62" s="276"/>
    </row>
    <row r="63" spans="1:5" x14ac:dyDescent="0.25">
      <c r="A63" s="124">
        <v>57</v>
      </c>
      <c r="B63" s="278">
        <v>467</v>
      </c>
      <c r="C63" s="384">
        <v>360</v>
      </c>
      <c r="D63" s="278"/>
      <c r="E63" s="276"/>
    </row>
    <row r="64" spans="1:5" x14ac:dyDescent="0.25">
      <c r="A64" s="124">
        <v>58</v>
      </c>
      <c r="B64" s="278">
        <v>487</v>
      </c>
      <c r="C64" s="384">
        <v>374</v>
      </c>
      <c r="D64" s="278"/>
      <c r="E64" s="276"/>
    </row>
    <row r="65" spans="1:5" x14ac:dyDescent="0.25">
      <c r="A65" s="124">
        <v>59</v>
      </c>
      <c r="B65" s="278">
        <v>508</v>
      </c>
      <c r="C65" s="384">
        <v>389</v>
      </c>
      <c r="D65" s="278"/>
      <c r="E65" s="276"/>
    </row>
    <row r="66" spans="1:5" ht="18.75" thickBot="1" x14ac:dyDescent="0.3">
      <c r="A66" s="126">
        <v>60</v>
      </c>
      <c r="B66" s="279">
        <v>530</v>
      </c>
      <c r="C66" s="385">
        <v>405</v>
      </c>
      <c r="D66" s="279"/>
      <c r="E66" s="277"/>
    </row>
  </sheetData>
  <mergeCells count="4">
    <mergeCell ref="B4:C4"/>
    <mergeCell ref="A1:E1"/>
    <mergeCell ref="A2:E2"/>
    <mergeCell ref="D4:E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Code</vt:lpstr>
      <vt:lpstr>LifeTable</vt:lpstr>
      <vt:lpstr>Policy</vt:lpstr>
      <vt:lpstr>Suggestion</vt:lpstr>
      <vt:lpstr>FT</vt:lpstr>
      <vt:lpstr>HT</vt:lpstr>
      <vt:lpstr>JT</vt:lpstr>
      <vt:lpstr>EL</vt:lpstr>
      <vt:lpstr>GP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zhixiang Jiang</cp:lastModifiedBy>
  <dcterms:created xsi:type="dcterms:W3CDTF">2006-09-13T11:24:16Z</dcterms:created>
  <dcterms:modified xsi:type="dcterms:W3CDTF">2020-05-26T01:43:15Z</dcterms:modified>
</cp:coreProperties>
</file>